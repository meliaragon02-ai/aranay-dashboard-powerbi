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uenta_90d" sheetId="2" state="visible" r:id="rId4"/>
    <sheet name="Contenido" sheetId="3" state="visible" r:id="rId5"/>
    <sheet name="Actividad_horaria" sheetId="4" state="visible" r:id="rId6"/>
    <sheet name="Productos" sheetId="5" state="visible" r:id="rId7"/>
    <sheet name="Ventas_consultas" sheetId="6" state="visible" r:id="rId8"/>
    <sheet name="Conversion_producto" sheetId="7" state="visible" r:id="rId9"/>
    <sheet name="Embudo" sheetId="8" state="visible" r:id="rId10"/>
    <sheet name="Supuestos_simulac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<sst xmlns="http://schemas.openxmlformats.org/spreadsheetml/2006/main" count="2212" uniqueCount="421">
  <si>
    <t xml:space="preserve">Aranay – métricas de Instagram (Panel profesional)</t>
  </si>
  <si>
    <t xml:space="preserve">Fuente: capturas del Panel profesional de Instagram enviadas por Melisa el 25/09/2026.</t>
  </si>
  <si>
    <t xml:space="preserve">Cuenta_90d y Actividad_horaria: período 'Últimos 90 días'.</t>
  </si>
  <si>
    <t xml:space="preserve">Contenido: Visualizaciones = 'Últimos 30 días'; Interacciones = 'Últimos 90 días'. Las ventanas no son iguales:</t>
  </si>
  <si>
    <t xml:space="preserve">   como la cuenta arrancó a fines de agosto, casi todo el contenido cae en ambas ventanas, pero la tasa es una estimación.</t>
  </si>
  <si>
    <t xml:space="preserve">Celdas vacías en Contenido = la pieza no apareció en las capturas (solo se ven los tops), no significa cero.</t>
  </si>
  <si>
    <t xml:space="preserve">Actividad_horaria corresponde al día que estaba seleccionado en la captura (lunes).</t>
  </si>
  <si>
    <t xml:space="preserve">Ventas_consultas: tabla con datos reales y simulados (ver columna Origen).</t>
  </si>
  <si>
    <t xml:space="preserve">Power BI: Obtener datos &gt; Excel &gt; seleccionar las tablas (tb_...).</t>
  </si>
  <si>
    <t xml:space="preserve">Ventas_consultas: filas con Origen = Real son los registros cargados por Melisa (sep 2026).</t>
  </si>
  <si>
    <t xml:space="preserve">Filas con Origen = Simulado son un escenario inventado para oct–dic 2026. NO son ventas reales: en cualquier publicación indicarlo como 'datos simulados'.</t>
  </si>
  <si>
    <t xml:space="preserve">Ventas reales: cobradas a precio amiga = precio transferencia (lista − 10%) − 10% adicional, es decir lista × 0,81.</t>
  </si>
  <si>
    <t xml:space="preserve">Los supuestos de la simulación están en la hoja Supuestos_simulacion; los precios en Productos.</t>
  </si>
  <si>
    <t xml:space="preserve">Métrica</t>
  </si>
  <si>
    <t xml:space="preserve">Valor</t>
  </si>
  <si>
    <t xml:space="preserve">Detalle</t>
  </si>
  <si>
    <t xml:space="preserve">Visualizaciones</t>
  </si>
  <si>
    <t xml:space="preserve">Total 90 días</t>
  </si>
  <si>
    <t xml:space="preserve">Visualizaciones – % seguidores</t>
  </si>
  <si>
    <t xml:space="preserve">Visualizaciones – % no seguidores</t>
  </si>
  <si>
    <t xml:space="preserve">Espectadores (cuentas únicas)</t>
  </si>
  <si>
    <t xml:space="preserve">Interacciones</t>
  </si>
  <si>
    <t xml:space="preserve">Interacciones – % seguidores</t>
  </si>
  <si>
    <t xml:space="preserve">Interacciones – % no seguidores</t>
  </si>
  <si>
    <t xml:space="preserve">Cuentas que interactuaron</t>
  </si>
  <si>
    <t xml:space="preserve">Actividad del perfil</t>
  </si>
  <si>
    <t xml:space="preserve">Visitas + toques en enlace</t>
  </si>
  <si>
    <t xml:space="preserve">Visitas al perfil</t>
  </si>
  <si>
    <t xml:space="preserve">Toques en el enlace externo</t>
  </si>
  <si>
    <t xml:space="preserve">Enlace a la tienda web</t>
  </si>
  <si>
    <t xml:space="preserve">Total de seguidores</t>
  </si>
  <si>
    <t xml:space="preserve">Al 25/09/2026</t>
  </si>
  <si>
    <t xml:space="preserve">Formato</t>
  </si>
  <si>
    <t xml:space="preserve">% visualizaciones</t>
  </si>
  <si>
    <t xml:space="preserve">% interacciones</t>
  </si>
  <si>
    <t xml:space="preserve">Tasa de interacción</t>
  </si>
  <si>
    <t xml:space="preserve">Historias</t>
  </si>
  <si>
    <t xml:space="preserve">Reels</t>
  </si>
  <si>
    <t xml:space="preserve">Publicaciones</t>
  </si>
  <si>
    <t xml:space="preserve">ID</t>
  </si>
  <si>
    <t xml:space="preserve">Pieza</t>
  </si>
  <si>
    <t xml:space="preserve">Producto / tema</t>
  </si>
  <si>
    <t xml:space="preserve">Fecha</t>
  </si>
  <si>
    <t xml:space="preserve">Visualizaciones_30d</t>
  </si>
  <si>
    <t xml:space="preserve">Interacciones_90d</t>
  </si>
  <si>
    <t xml:space="preserve">Tasa_interaccion</t>
  </si>
  <si>
    <t xml:space="preserve">Look chaleco + pantalón negro (puerta)</t>
  </si>
  <si>
    <t xml:space="preserve">Chalecos / sastrero</t>
  </si>
  <si>
    <t xml:space="preserve">Carrusel</t>
  </si>
  <si>
    <t xml:space="preserve">Save the date 9.9</t>
  </si>
  <si>
    <t xml:space="preserve">Lanzamiento / institucional</t>
  </si>
  <si>
    <t xml:space="preserve">Reel</t>
  </si>
  <si>
    <t xml:space="preserve">'Look para cada plan' – top encaje halter</t>
  </si>
  <si>
    <t xml:space="preserve">Tops de encaje</t>
  </si>
  <si>
    <t xml:space="preserve">Historia</t>
  </si>
  <si>
    <t xml:space="preserve">Conjunto blanco con chaleco (calle, noche)</t>
  </si>
  <si>
    <t xml:space="preserve">Bodies #SS27</t>
  </si>
  <si>
    <t xml:space="preserve">Bodies</t>
  </si>
  <si>
    <t xml:space="preserve">Jean azul + musculosa (parque)</t>
  </si>
  <si>
    <t xml:space="preserve">Jeans</t>
  </si>
  <si>
    <t xml:space="preserve">Chaleco negro (reja)</t>
  </si>
  <si>
    <t xml:space="preserve">Conjunto Nara beige (silla)</t>
  </si>
  <si>
    <t xml:space="preserve">Musculosas Morley 3 colores</t>
  </si>
  <si>
    <t xml:space="preserve">Musculosas Morley</t>
  </si>
  <si>
    <t xml:space="preserve">Musculosas Morley escote V</t>
  </si>
  <si>
    <t xml:space="preserve">'¿Se acuerdan que les conté?' (Morley)</t>
  </si>
  <si>
    <t xml:space="preserve">Bodies con puntillas, colores clásicos</t>
  </si>
  <si>
    <t xml:space="preserve">'Viernes y 3 planes'</t>
  </si>
  <si>
    <t xml:space="preserve">Engagement</t>
  </si>
  <si>
    <t xml:space="preserve">Musculosas Morley con tazas</t>
  </si>
  <si>
    <t xml:space="preserve">'¿Con qué look te quedás?'</t>
  </si>
  <si>
    <t xml:space="preserve">Tops de encaje – encuesta de color</t>
  </si>
  <si>
    <t xml:space="preserve">Top negro</t>
  </si>
  <si>
    <t xml:space="preserve">'¿Qué plan tenés este finde?'</t>
  </si>
  <si>
    <t xml:space="preserve">Reseña clienta – Morley (More)</t>
  </si>
  <si>
    <t xml:space="preserve">Reseñas</t>
  </si>
  <si>
    <t xml:space="preserve">'Para tu salida a la noche'</t>
  </si>
  <si>
    <t xml:space="preserve">Reseña clienta – Morley (Cande)</t>
  </si>
  <si>
    <t xml:space="preserve">Brunch – 10% OFF</t>
  </si>
  <si>
    <t xml:space="preserve">Promoción</t>
  </si>
  <si>
    <t xml:space="preserve">Cuenta regresiva '6 días'</t>
  </si>
  <si>
    <t xml:space="preserve">Save the date 9/9 (historia)</t>
  </si>
  <si>
    <t xml:space="preserve">Wide leg negro – últimos talles</t>
  </si>
  <si>
    <t xml:space="preserve">Remera rayas celeste</t>
  </si>
  <si>
    <t xml:space="preserve">Remeras rayadas</t>
  </si>
  <si>
    <t xml:space="preserve">Remera rayas marrón</t>
  </si>
  <si>
    <t xml:space="preserve">'Quieren ver lo que se viene' (sastrero)</t>
  </si>
  <si>
    <t xml:space="preserve">'Faltan horas, mañana abrimos'</t>
  </si>
  <si>
    <t xml:space="preserve">Conjunto Nara (historia)</t>
  </si>
  <si>
    <t xml:space="preserve">Pantalones sastreros – 4 modelos</t>
  </si>
  <si>
    <t xml:space="preserve">'Activá las notificaciones'</t>
  </si>
  <si>
    <t xml:space="preserve">Reseñas wide leg</t>
  </si>
  <si>
    <t xml:space="preserve">Cupón 10% OFF 'solo por hoy'</t>
  </si>
  <si>
    <t xml:space="preserve">Jean azul (parque) – historia</t>
  </si>
  <si>
    <t xml:space="preserve">'Estamos agrandando nuestro catálogo'</t>
  </si>
  <si>
    <t xml:space="preserve">Coming soon – septiembre 2026</t>
  </si>
  <si>
    <t xml:space="preserve">Denim streetwear moda</t>
  </si>
  <si>
    <t xml:space="preserve">Jean gris (carrusel)</t>
  </si>
  <si>
    <t xml:space="preserve">Coming soon – jeans</t>
  </si>
  <si>
    <t xml:space="preserve">Publicación</t>
  </si>
  <si>
    <t xml:space="preserve">'Algo nuevo está tomando forma'</t>
  </si>
  <si>
    <t xml:space="preserve">Top marrón con argolla</t>
  </si>
  <si>
    <t xml:space="preserve">Jean gris (foto)</t>
  </si>
  <si>
    <t xml:space="preserve">Bodies texturados 3 colores</t>
  </si>
  <si>
    <t xml:space="preserve">Chaleco negro (puerta) – historia</t>
  </si>
  <si>
    <t xml:space="preserve">'A casi una semana del lanzamiento'</t>
  </si>
  <si>
    <t xml:space="preserve">Coming soon – historia</t>
  </si>
  <si>
    <t xml:space="preserve">'Mandanos QUIERO por DM' – 10% OFF</t>
  </si>
  <si>
    <t xml:space="preserve">Chalecos – '¿Qué creen que se viene?'</t>
  </si>
  <si>
    <t xml:space="preserve">'No es fácil decirlo pero…'</t>
  </si>
  <si>
    <t xml:space="preserve">Reseña clienta – body (Florencia)</t>
  </si>
  <si>
    <t xml:space="preserve">Jean gris – historia</t>
  </si>
  <si>
    <t xml:space="preserve">Día</t>
  </si>
  <si>
    <t xml:space="preserve">Hora</t>
  </si>
  <si>
    <t xml:space="preserve">Seguidores activos</t>
  </si>
  <si>
    <t xml:space="preserve">Lunes</t>
  </si>
  <si>
    <t xml:space="preserve">0:00</t>
  </si>
  <si>
    <t xml:space="preserve">3:00</t>
  </si>
  <si>
    <t xml:space="preserve">6:00</t>
  </si>
  <si>
    <t xml:space="preserve">9:00</t>
  </si>
  <si>
    <t xml:space="preserve">12:00</t>
  </si>
  <si>
    <t xml:space="preserve">15:00</t>
  </si>
  <si>
    <t xml:space="preserve">18:00</t>
  </si>
  <si>
    <t xml:space="preserve">21:00</t>
  </si>
  <si>
    <t xml:space="preserve">Producto</t>
  </si>
  <si>
    <t xml:space="preserve">Categoría</t>
  </si>
  <si>
    <t xml:space="preserve">Precio de lista web ($)</t>
  </si>
  <si>
    <t xml:space="preserve">Fuente</t>
  </si>
  <si>
    <t xml:space="preserve">Top Musculosa de Morley Escote V con Tazas</t>
  </si>
  <si>
    <t xml:space="preserve">Tiendanube</t>
  </si>
  <si>
    <t xml:space="preserve">Musculosa de Morley Cuello U con Tazas</t>
  </si>
  <si>
    <t xml:space="preserve">Jean Wide Leg Clásico</t>
  </si>
  <si>
    <t xml:space="preserve">Jeans y denim</t>
  </si>
  <si>
    <t xml:space="preserve">Jean Wide Leg Negro Tiro Alto</t>
  </si>
  <si>
    <t xml:space="preserve">Short Denim Tiro Alto con Flecos</t>
  </si>
  <si>
    <t xml:space="preserve">Remera Navy</t>
  </si>
  <si>
    <t xml:space="preserve">Remeras y musculosas</t>
  </si>
  <si>
    <t xml:space="preserve">Remera Roma</t>
  </si>
  <si>
    <t xml:space="preserve">Musculosa Vanesa cuello cuadrado</t>
  </si>
  <si>
    <t xml:space="preserve">Body Aranay</t>
  </si>
  <si>
    <t xml:space="preserve">Top Oriental de Encaje</t>
  </si>
  <si>
    <t xml:space="preserve">Tops</t>
  </si>
  <si>
    <t xml:space="preserve">Top Oriental de Lycra</t>
  </si>
  <si>
    <t xml:space="preserve">Top de Encaje con Lazo</t>
  </si>
  <si>
    <t xml:space="preserve">Chaleco Nara</t>
  </si>
  <si>
    <t xml:space="preserve">Sastrero</t>
  </si>
  <si>
    <t xml:space="preserve">Pantalón Nara</t>
  </si>
  <si>
    <t xml:space="preserve">Chaleco Gala</t>
  </si>
  <si>
    <t xml:space="preserve">Pantalón Gala</t>
  </si>
  <si>
    <t xml:space="preserve">Pantalon Gala Recto</t>
  </si>
  <si>
    <t xml:space="preserve">Pantalón Siena</t>
  </si>
  <si>
    <t xml:space="preserve">Canal</t>
  </si>
  <si>
    <t xml:space="preserve">Tipo</t>
  </si>
  <si>
    <t xml:space="preserve">Cantidad</t>
  </si>
  <si>
    <t xml:space="preserve">Precio unitario ($)</t>
  </si>
  <si>
    <t xml:space="preserve">Monto ($)</t>
  </si>
  <si>
    <t xml:space="preserve">Medio de pago</t>
  </si>
  <si>
    <t xml:space="preserve">Origen</t>
  </si>
  <si>
    <t xml:space="preserve">Mes</t>
  </si>
  <si>
    <t xml:space="preserve">MesNum</t>
  </si>
  <si>
    <t xml:space="preserve">Instagram DM</t>
  </si>
  <si>
    <t xml:space="preserve">Venta</t>
  </si>
  <si>
    <t xml:space="preserve">Transferencia</t>
  </si>
  <si>
    <t xml:space="preserve">Real</t>
  </si>
  <si>
    <t xml:space="preserve">Septiembre</t>
  </si>
  <si>
    <t xml:space="preserve">Consulta</t>
  </si>
  <si>
    <t xml:space="preserve">08:04</t>
  </si>
  <si>
    <t xml:space="preserve">Simulado</t>
  </si>
  <si>
    <t xml:space="preserve">Octubre</t>
  </si>
  <si>
    <t xml:space="preserve">11:40</t>
  </si>
  <si>
    <t xml:space="preserve">16:26</t>
  </si>
  <si>
    <t xml:space="preserve">17:43</t>
  </si>
  <si>
    <t xml:space="preserve">Comentario</t>
  </si>
  <si>
    <t xml:space="preserve">11:29</t>
  </si>
  <si>
    <t xml:space="preserve">WhatsApp</t>
  </si>
  <si>
    <t xml:space="preserve">18:11</t>
  </si>
  <si>
    <t xml:space="preserve">18:26</t>
  </si>
  <si>
    <t xml:space="preserve">09:34</t>
  </si>
  <si>
    <t xml:space="preserve">22:01</t>
  </si>
  <si>
    <t xml:space="preserve">Mercado Pago</t>
  </si>
  <si>
    <t xml:space="preserve">08:55</t>
  </si>
  <si>
    <t xml:space="preserve">16:22</t>
  </si>
  <si>
    <t xml:space="preserve">16:30</t>
  </si>
  <si>
    <t xml:space="preserve">13:32</t>
  </si>
  <si>
    <t xml:space="preserve">Web</t>
  </si>
  <si>
    <t xml:space="preserve">16:50</t>
  </si>
  <si>
    <t xml:space="preserve">17:29</t>
  </si>
  <si>
    <t xml:space="preserve">14:17</t>
  </si>
  <si>
    <t xml:space="preserve">16:20</t>
  </si>
  <si>
    <t xml:space="preserve">19:19</t>
  </si>
  <si>
    <t xml:space="preserve">11:54</t>
  </si>
  <si>
    <t xml:space="preserve">17:23</t>
  </si>
  <si>
    <t xml:space="preserve">21:16</t>
  </si>
  <si>
    <t xml:space="preserve">16:39</t>
  </si>
  <si>
    <t xml:space="preserve">16:25</t>
  </si>
  <si>
    <t xml:space="preserve">18:44</t>
  </si>
  <si>
    <t xml:space="preserve">10:40</t>
  </si>
  <si>
    <t xml:space="preserve">13:02</t>
  </si>
  <si>
    <t xml:space="preserve">13:29</t>
  </si>
  <si>
    <t xml:space="preserve">20:06</t>
  </si>
  <si>
    <t xml:space="preserve">14:43</t>
  </si>
  <si>
    <t xml:space="preserve">13:54</t>
  </si>
  <si>
    <t xml:space="preserve">17:07</t>
  </si>
  <si>
    <t xml:space="preserve">23:18</t>
  </si>
  <si>
    <t xml:space="preserve">22:06</t>
  </si>
  <si>
    <t xml:space="preserve">13:56</t>
  </si>
  <si>
    <t xml:space="preserve">15:22</t>
  </si>
  <si>
    <t xml:space="preserve">15:33</t>
  </si>
  <si>
    <t xml:space="preserve">16:09</t>
  </si>
  <si>
    <t xml:space="preserve">17:09</t>
  </si>
  <si>
    <t xml:space="preserve">19:52</t>
  </si>
  <si>
    <t xml:space="preserve">09:17</t>
  </si>
  <si>
    <t xml:space="preserve">13:27</t>
  </si>
  <si>
    <t xml:space="preserve">13:43</t>
  </si>
  <si>
    <t xml:space="preserve">14:10</t>
  </si>
  <si>
    <t xml:space="preserve">14:56</t>
  </si>
  <si>
    <t xml:space="preserve">15:59</t>
  </si>
  <si>
    <t xml:space="preserve">17:49</t>
  </si>
  <si>
    <t xml:space="preserve">08:29</t>
  </si>
  <si>
    <t xml:space="preserve">13:12</t>
  </si>
  <si>
    <t xml:space="preserve">11:36</t>
  </si>
  <si>
    <t xml:space="preserve">11:39</t>
  </si>
  <si>
    <t xml:space="preserve">20:00</t>
  </si>
  <si>
    <t xml:space="preserve">11:41</t>
  </si>
  <si>
    <t xml:space="preserve">17:16</t>
  </si>
  <si>
    <t xml:space="preserve">09:55</t>
  </si>
  <si>
    <t xml:space="preserve">16:54</t>
  </si>
  <si>
    <t xml:space="preserve">12:10</t>
  </si>
  <si>
    <t xml:space="preserve">18:51</t>
  </si>
  <si>
    <t xml:space="preserve">14:54</t>
  </si>
  <si>
    <t xml:space="preserve">20:26</t>
  </si>
  <si>
    <t xml:space="preserve">21:32</t>
  </si>
  <si>
    <t xml:space="preserve">16:07</t>
  </si>
  <si>
    <t xml:space="preserve">17:35</t>
  </si>
  <si>
    <t xml:space="preserve">09:40</t>
  </si>
  <si>
    <t xml:space="preserve">13:04</t>
  </si>
  <si>
    <t xml:space="preserve">18:40</t>
  </si>
  <si>
    <t xml:space="preserve">08:41</t>
  </si>
  <si>
    <t xml:space="preserve">14:46</t>
  </si>
  <si>
    <t xml:space="preserve">20:29</t>
  </si>
  <si>
    <t xml:space="preserve">12:48</t>
  </si>
  <si>
    <t xml:space="preserve">Noviembre</t>
  </si>
  <si>
    <t xml:space="preserve">13:08</t>
  </si>
  <si>
    <t xml:space="preserve">15:26</t>
  </si>
  <si>
    <t xml:space="preserve">19:36</t>
  </si>
  <si>
    <t xml:space="preserve">16:23</t>
  </si>
  <si>
    <t xml:space="preserve">18:42</t>
  </si>
  <si>
    <t xml:space="preserve">16:29</t>
  </si>
  <si>
    <t xml:space="preserve">16:59</t>
  </si>
  <si>
    <t xml:space="preserve">12:40</t>
  </si>
  <si>
    <t xml:space="preserve">13:28</t>
  </si>
  <si>
    <t xml:space="preserve">18:32</t>
  </si>
  <si>
    <t xml:space="preserve">16:57</t>
  </si>
  <si>
    <t xml:space="preserve">08:28</t>
  </si>
  <si>
    <t xml:space="preserve">14:06</t>
  </si>
  <si>
    <t xml:space="preserve">14:08</t>
  </si>
  <si>
    <t xml:space="preserve">08:42</t>
  </si>
  <si>
    <t xml:space="preserve">15:15</t>
  </si>
  <si>
    <t xml:space="preserve">11:57</t>
  </si>
  <si>
    <t xml:space="preserve">13:15</t>
  </si>
  <si>
    <t xml:space="preserve">22:40</t>
  </si>
  <si>
    <t xml:space="preserve">08:32</t>
  </si>
  <si>
    <t xml:space="preserve">22:22</t>
  </si>
  <si>
    <t xml:space="preserve">11:07</t>
  </si>
  <si>
    <t xml:space="preserve">12:59</t>
  </si>
  <si>
    <t xml:space="preserve">13:41</t>
  </si>
  <si>
    <t xml:space="preserve">17:58</t>
  </si>
  <si>
    <t xml:space="preserve">19:31</t>
  </si>
  <si>
    <t xml:space="preserve">09:47</t>
  </si>
  <si>
    <t xml:space="preserve">10:01</t>
  </si>
  <si>
    <t xml:space="preserve">14:37</t>
  </si>
  <si>
    <t xml:space="preserve">22:53</t>
  </si>
  <si>
    <t xml:space="preserve">14:33</t>
  </si>
  <si>
    <t xml:space="preserve">10:21</t>
  </si>
  <si>
    <t xml:space="preserve">11:33</t>
  </si>
  <si>
    <t xml:space="preserve">14:23</t>
  </si>
  <si>
    <t xml:space="preserve">14:51</t>
  </si>
  <si>
    <t xml:space="preserve">18:12</t>
  </si>
  <si>
    <t xml:space="preserve">21:28</t>
  </si>
  <si>
    <t xml:space="preserve">10:53</t>
  </si>
  <si>
    <t xml:space="preserve">22:02</t>
  </si>
  <si>
    <t xml:space="preserve">17:06</t>
  </si>
  <si>
    <t xml:space="preserve">19:13</t>
  </si>
  <si>
    <t xml:space="preserve">10:26</t>
  </si>
  <si>
    <t xml:space="preserve">10:05</t>
  </si>
  <si>
    <t xml:space="preserve">16:17</t>
  </si>
  <si>
    <t xml:space="preserve">17:19</t>
  </si>
  <si>
    <t xml:space="preserve">14:20</t>
  </si>
  <si>
    <t xml:space="preserve">15:03</t>
  </si>
  <si>
    <t xml:space="preserve">16:32</t>
  </si>
  <si>
    <t xml:space="preserve">10:55</t>
  </si>
  <si>
    <t xml:space="preserve">18:43</t>
  </si>
  <si>
    <t xml:space="preserve">20:55</t>
  </si>
  <si>
    <t xml:space="preserve">13:47</t>
  </si>
  <si>
    <t xml:space="preserve">16:10</t>
  </si>
  <si>
    <t xml:space="preserve">19:45</t>
  </si>
  <si>
    <t xml:space="preserve">14:01</t>
  </si>
  <si>
    <t xml:space="preserve">21:44</t>
  </si>
  <si>
    <t xml:space="preserve">10:17</t>
  </si>
  <si>
    <t xml:space="preserve">15:37</t>
  </si>
  <si>
    <t xml:space="preserve">09:41</t>
  </si>
  <si>
    <t xml:space="preserve">15:42</t>
  </si>
  <si>
    <t xml:space="preserve">18:09</t>
  </si>
  <si>
    <t xml:space="preserve">18:33</t>
  </si>
  <si>
    <t xml:space="preserve">19:43</t>
  </si>
  <si>
    <t xml:space="preserve">15:07</t>
  </si>
  <si>
    <t xml:space="preserve">17:50</t>
  </si>
  <si>
    <t xml:space="preserve">10:44</t>
  </si>
  <si>
    <t xml:space="preserve">15:44</t>
  </si>
  <si>
    <t xml:space="preserve">19:12</t>
  </si>
  <si>
    <t xml:space="preserve">08:47</t>
  </si>
  <si>
    <t xml:space="preserve">Diciembre</t>
  </si>
  <si>
    <t xml:space="preserve">12:08</t>
  </si>
  <si>
    <t xml:space="preserve">19:50</t>
  </si>
  <si>
    <t xml:space="preserve">10:07</t>
  </si>
  <si>
    <t xml:space="preserve">12:52</t>
  </si>
  <si>
    <t xml:space="preserve">14:04</t>
  </si>
  <si>
    <t xml:space="preserve">14:30</t>
  </si>
  <si>
    <t xml:space="preserve">14:52</t>
  </si>
  <si>
    <t xml:space="preserve">18:46</t>
  </si>
  <si>
    <t xml:space="preserve">10:10</t>
  </si>
  <si>
    <t xml:space="preserve">15:53</t>
  </si>
  <si>
    <t xml:space="preserve">16:13</t>
  </si>
  <si>
    <t xml:space="preserve">19:30</t>
  </si>
  <si>
    <t xml:space="preserve">10:27</t>
  </si>
  <si>
    <t xml:space="preserve">11:24</t>
  </si>
  <si>
    <t xml:space="preserve">15:08</t>
  </si>
  <si>
    <t xml:space="preserve">15:20</t>
  </si>
  <si>
    <t xml:space="preserve">08:10</t>
  </si>
  <si>
    <t xml:space="preserve">12:32</t>
  </si>
  <si>
    <t xml:space="preserve">14:36</t>
  </si>
  <si>
    <t xml:space="preserve">14:55</t>
  </si>
  <si>
    <t xml:space="preserve">15:36</t>
  </si>
  <si>
    <t xml:space="preserve">10:19</t>
  </si>
  <si>
    <t xml:space="preserve">11:11</t>
  </si>
  <si>
    <t xml:space="preserve">09:22</t>
  </si>
  <si>
    <t xml:space="preserve">09:14</t>
  </si>
  <si>
    <t xml:space="preserve">13:16</t>
  </si>
  <si>
    <t xml:space="preserve">17:10</t>
  </si>
  <si>
    <t xml:space="preserve">15:12</t>
  </si>
  <si>
    <t xml:space="preserve">22:27</t>
  </si>
  <si>
    <t xml:space="preserve">17:53</t>
  </si>
  <si>
    <t xml:space="preserve">18:20</t>
  </si>
  <si>
    <t xml:space="preserve">16:53</t>
  </si>
  <si>
    <t xml:space="preserve">17:32</t>
  </si>
  <si>
    <t xml:space="preserve">08:09</t>
  </si>
  <si>
    <t xml:space="preserve">09:59</t>
  </si>
  <si>
    <t xml:space="preserve">12:16</t>
  </si>
  <si>
    <t xml:space="preserve">13:26</t>
  </si>
  <si>
    <t xml:space="preserve">16:28</t>
  </si>
  <si>
    <t xml:space="preserve">09:08</t>
  </si>
  <si>
    <t xml:space="preserve">10:42</t>
  </si>
  <si>
    <t xml:space="preserve">12:19</t>
  </si>
  <si>
    <t xml:space="preserve">13:35</t>
  </si>
  <si>
    <t xml:space="preserve">13:38</t>
  </si>
  <si>
    <t xml:space="preserve">11:53</t>
  </si>
  <si>
    <t xml:space="preserve">12:02</t>
  </si>
  <si>
    <t xml:space="preserve">13:42</t>
  </si>
  <si>
    <t xml:space="preserve">09:02</t>
  </si>
  <si>
    <t xml:space="preserve">11:05</t>
  </si>
  <si>
    <t xml:space="preserve">12:29</t>
  </si>
  <si>
    <t xml:space="preserve">16:24</t>
  </si>
  <si>
    <t xml:space="preserve">18:18</t>
  </si>
  <si>
    <t xml:space="preserve">16:52</t>
  </si>
  <si>
    <t xml:space="preserve">13:14</t>
  </si>
  <si>
    <t xml:space="preserve">13:40</t>
  </si>
  <si>
    <t xml:space="preserve">19:39</t>
  </si>
  <si>
    <t xml:space="preserve">09:27</t>
  </si>
  <si>
    <t xml:space="preserve">12:22</t>
  </si>
  <si>
    <t xml:space="preserve">10:00</t>
  </si>
  <si>
    <t xml:space="preserve">15:17</t>
  </si>
  <si>
    <t xml:space="preserve">17:41</t>
  </si>
  <si>
    <t xml:space="preserve">11:55</t>
  </si>
  <si>
    <t xml:space="preserve">18:55</t>
  </si>
  <si>
    <t xml:space="preserve">20:13</t>
  </si>
  <si>
    <t xml:space="preserve">20:46</t>
  </si>
  <si>
    <t xml:space="preserve">09:18</t>
  </si>
  <si>
    <t xml:space="preserve">11:56</t>
  </si>
  <si>
    <t xml:space="preserve">16:01</t>
  </si>
  <si>
    <t xml:space="preserve">17:26</t>
  </si>
  <si>
    <t xml:space="preserve">18:34</t>
  </si>
  <si>
    <t xml:space="preserve">11:37</t>
  </si>
  <si>
    <t xml:space="preserve">18:54</t>
  </si>
  <si>
    <t xml:space="preserve">23:27</t>
  </si>
  <si>
    <t xml:space="preserve">08:01</t>
  </si>
  <si>
    <t xml:space="preserve">15:11</t>
  </si>
  <si>
    <t xml:space="preserve">19:33</t>
  </si>
  <si>
    <t xml:space="preserve">Escenario simulado oct–dic 2026 (Origen = Simulado)</t>
  </si>
  <si>
    <t xml:space="preserve">Consultas</t>
  </si>
  <si>
    <t xml:space="preserve">Ventas</t>
  </si>
  <si>
    <t xml:space="preserve">Tasa de conversión</t>
  </si>
  <si>
    <t xml:space="preserve">Unidades</t>
  </si>
  <si>
    <t xml:space="preserve">Facturación ($)</t>
  </si>
  <si>
    <t xml:space="preserve">Ticket promedio ($)</t>
  </si>
  <si>
    <t xml:space="preserve">Total</t>
  </si>
  <si>
    <t xml:space="preserve">Datos reales (sep 2026)</t>
  </si>
  <si>
    <t xml:space="preserve">Consultas reales</t>
  </si>
  <si>
    <t xml:space="preserve">Ventas reales</t>
  </si>
  <si>
    <t xml:space="preserve">Facturación real ($)</t>
  </si>
  <si>
    <t xml:space="preserve">Etapa</t>
  </si>
  <si>
    <t xml:space="preserve">% vs etapa anterior</t>
  </si>
  <si>
    <t xml:space="preserve">% vs espectadores</t>
  </si>
  <si>
    <t xml:space="preserve">Toques en el enlace a la web</t>
  </si>
  <si>
    <t xml:space="preserve">Conversaciones (consultas + ventas)</t>
  </si>
  <si>
    <t xml:space="preserve">Solo datos reales. Las ventas se concretaron por DM y transferencia, no por la web: el paso enlace → conversación no es secuencial.</t>
  </si>
  <si>
    <t xml:space="preserve">Consultas simuladas</t>
  </si>
  <si>
    <t xml:space="preserve">Tasa de conversión supuesta</t>
  </si>
  <si>
    <t xml:space="preserve">Justificación</t>
  </si>
  <si>
    <t xml:space="preserve">Mejor tasa de interacción en Instagram (≈12%) y producto más consultado real</t>
  </si>
  <si>
    <t xml:space="preserve">Segundo producto más consultado; ya tiene venta real</t>
  </si>
  <si>
    <t xml:space="preserve">Precio bajo, compra de impulso; Remera Navy ya tiene 2 ventas reales</t>
  </si>
  <si>
    <t xml:space="preserve">Buena tasa de interacción (≈10%)</t>
  </si>
  <si>
    <t xml:space="preserve">Alcance medio en historias</t>
  </si>
  <si>
    <t xml:space="preserve">Mucho alcance (look más visto) pero precio alto: baja conversión</t>
  </si>
  <si>
    <t xml:space="preserve">Período simulado: 01/10/2026 a 31/12/2026, con más volumen en diciembre (28% / 32% / 40% por mes).</t>
  </si>
  <si>
    <t xml:space="preserve">Cada venta simulada nace de una consulta simulada, 0 a 3 días después.</t>
  </si>
  <si>
    <t xml:space="preserve">Horarios ponderados según la actividad real de seguidores (pico 9–18 h).</t>
  </si>
  <si>
    <t xml:space="preserve">Canal consultas: 70% DM, 20% WhatsApp, 10% comentario. Canal ventas: 65% DM, 25% WhatsApp, 10% web.</t>
  </si>
  <si>
    <t xml:space="preserve">Precio de ventas simuladas: lista web; por transferencia, lista − 10% (política real de Aranay).</t>
  </si>
  <si>
    <t xml:space="preserve">Pago: 70% transferencia, 30% Mercado Pago. Cantidad: 85% una unidad, 15% dos.</t>
  </si>
  <si>
    <t xml:space="preserve">Semilla aleatoria fija (2026): el dataset es reproducible.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</si>
</sst>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dd/mm/yyyy"/>
    <numFmt numFmtId="168" formatCode="\$#,##0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_contenido" displayName="tb_contenido" ref="A1:H53" headerRowCount="1" totalsRowCount="0" totalsRowShown="0">
  <autoFilter ref="A1:H53"/>
  <tableColumns count="8">
    <tableColumn id="1" name="ID"/>
    <tableColumn id="2" name="Pieza"/>
    <tableColumn id="3" name="Producto / tema"/>
    <tableColumn id="4" name="Formato"/>
    <tableColumn id="5" name="Fecha"/>
    <tableColumn id="6" name="Visualizaciones_30d"/>
    <tableColumn id="7" name="Interacciones_90d"/>
    <tableColumn id="8" name="Tasa_interaccion"/>
  </tableColumns>
</table>
</file>

<file path=xl/tables/table2.xml><?xml version="1.0" encoding="utf-8"?>
<table xmlns="http://schemas.openxmlformats.org/spreadsheetml/2006/main" id="2" name="tb_conversion" displayName="tb_conversion" ref="A2:H20" headerRowCount="1" totalsRowCount="0" totalsRowShown="0">
  <autoFilter ref="A2:H20"/>
  <tableColumns count="8">
    <tableColumn id="1" name="Producto"/>
    <tableColumn id="2" name="Categoría"/>
    <tableColumn id="3" name="Consultas"/>
    <tableColumn id="4" name="Ventas"/>
    <tableColumn id="5" name="Tasa de conversión"/>
    <tableColumn id="6" name="Unidades"/>
    <tableColumn id="7" name="Facturación ($)"/>
    <tableColumn id="8" name="Ticket promedio ($)"/>
  </tableColumns>
</table>
</file>

<file path=xl/tables/table3.xml><?xml version="1.0" encoding="utf-8"?>
<table xmlns="http://schemas.openxmlformats.org/spreadsheetml/2006/main" id="3" name="tb_cuenta" displayName="tb_cuenta" ref="A1:C13" headerRowCount="1" totalsRowCount="0" totalsRowShown="0">
  <autoFilter ref="A1:C13"/>
  <tableColumns count="3">
    <tableColumn id="1" name="Métrica"/>
    <tableColumn id="2" name="Valor"/>
    <tableColumn id="3" name="Detalle"/>
  </tableColumns>
</table>
</file>

<file path=xl/tables/table4.xml><?xml version="1.0" encoding="utf-8"?>
<table xmlns="http://schemas.openxmlformats.org/spreadsheetml/2006/main" id="4" name="tb_embudo" displayName="tb_embudo" ref="A1:D7" headerRowCount="1" totalsRowCount="0" totalsRowShown="0">
  <autoFilter ref="A1:D7"/>
  <tableColumns count="4">
    <tableColumn id="1" name="Etapa"/>
    <tableColumn id="2" name="Cantidad"/>
    <tableColumn id="3" name="% vs etapa anterior"/>
    <tableColumn id="4" name="% vs espectadores"/>
  </tableColumns>
</table>
</file>

<file path=xl/tables/table5.xml><?xml version="1.0" encoding="utf-8"?>
<table xmlns="http://schemas.openxmlformats.org/spreadsheetml/2006/main" id="5" name="tb_formatos" displayName="tb_formatos" ref="A16:F19" headerRowCount="1" totalsRowCount="0" totalsRowShown="0">
  <autoFilter ref="A16:F19"/>
  <tableColumns count="6">
    <tableColumn id="1" name="Formato"/>
    <tableColumn id="2" name="% visualizaciones"/>
    <tableColumn id="3" name="% interacciones"/>
    <tableColumn id="4" name="Visualizaciones"/>
    <tableColumn id="5" name="Interacciones"/>
    <tableColumn id="6" name="Tasa de interacción"/>
  </tableColumns>
</table>
</file>

<file path=xl/tables/table6.xml><?xml version="1.0" encoding="utf-8"?>
<table xmlns="http://schemas.openxmlformats.org/spreadsheetml/2006/main" id="6" name="tb_horaria" displayName="tb_horaria" ref="A1:C9" headerRowCount="1" totalsRowCount="0" totalsRowShown="0">
  <autoFilter ref="A1:C9"/>
  <tableColumns count="3">
    <tableColumn id="1" name="Día"/>
    <tableColumn id="2" name="Hora"/>
    <tableColumn id="3" name="Seguidores activos"/>
  </tableColumns>
</table>
</file>

<file path=xl/tables/table7.xml><?xml version="1.0" encoding="utf-8"?>
<table xmlns="http://schemas.openxmlformats.org/spreadsheetml/2006/main" id="7" name="tb_productos" displayName="tb_productos" ref="A1:D19" headerRowCount="1" totalsRowCount="0" totalsRowShown="0">
  <autoFilter ref="A1:D19"/>
  <tableColumns count="4">
    <tableColumn id="1" name="Producto"/>
    <tableColumn id="2" name="Categoría"/>
    <tableColumn id="3" name="Precio de lista web ($)"/>
    <tableColumn id="4" name="Fuente"/>
  </tableColumns>
</table>
</file>

<file path=xl/tables/table8.xml><?xml version="1.0" encoding="utf-8"?>
<table xmlns="http://schemas.openxmlformats.org/spreadsheetml/2006/main" id="8" name="tb_supuestos" displayName="tb_supuestos" ref="A1:D19" headerRowCount="1" totalsRowCount="0" totalsRowShown="0">
  <autoFilter ref="A1:D19"/>
  <tableColumns count="4">
    <tableColumn id="1" name="Producto"/>
    <tableColumn id="2" name="Consultas simuladas"/>
    <tableColumn id="3" name="Tasa de conversión supuesta"/>
    <tableColumn id="4" name="Justificación"/>
  </tableColumns>
</table>
</file>

<file path=xl/tables/table9.xml><?xml version="1.0" encoding="utf-8"?>
<table xmlns="http://schemas.openxmlformats.org/spreadsheetml/2006/main" id="9" name="tb_ventas_consultas" displayName="tb_ventas_consultas" ref="A1:M251" headerRowCount="1" totalsRowCount="0" totalsRowShown="0">
  <autoFilter ref="A1:M251"/>
  <tableColumns count="13">
    <tableColumn id="1" name="Fecha"/>
    <tableColumn id="2" name="Hora"/>
    <tableColumn id="3" name="Producto"/>
    <tableColumn id="4" name="Categoría"/>
    <tableColumn id="5" name="Canal"/>
    <tableColumn id="6" name="Tipo"/>
    <tableColumn id="7" name="Cantidad"/>
    <tableColumn id="8" name="Precio unitario ($)"/>
    <tableColumn id="9" name="Monto ($)"/>
    <tableColumn id="10" name="Medio de pago"/>
    <tableColumn id="11" name="Origen"/>
    <tableColumn id="12" name="Mes"/>
    <tableColumn id="13" name="MesN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1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3" t="s">
        <v>13</v>
      </c>
      <c r="B1" s="3" t="s">
        <v>14</v>
      </c>
      <c r="C1" s="3" t="s">
        <v>15</v>
      </c>
    </row>
    <row r="2" customFormat="false" ht="15" hidden="false" customHeight="false" outlineLevel="0" collapsed="false">
      <c r="A2" s="2" t="s">
        <v>16</v>
      </c>
      <c r="B2" s="4" t="n">
        <v>8312</v>
      </c>
      <c r="C2" s="2" t="s">
        <v>17</v>
      </c>
    </row>
    <row r="3" customFormat="false" ht="15" hidden="false" customHeight="false" outlineLevel="0" collapsed="false">
      <c r="A3" s="2" t="s">
        <v>18</v>
      </c>
      <c r="B3" s="5" t="n">
        <v>0.598</v>
      </c>
      <c r="C3" s="2"/>
    </row>
    <row r="4" customFormat="false" ht="15" hidden="false" customHeight="false" outlineLevel="0" collapsed="false">
      <c r="A4" s="2" t="s">
        <v>19</v>
      </c>
      <c r="B4" s="5" t="n">
        <v>0.402</v>
      </c>
      <c r="C4" s="2"/>
    </row>
    <row r="5" customFormat="false" ht="15" hidden="false" customHeight="false" outlineLevel="0" collapsed="false">
      <c r="A5" s="2" t="s">
        <v>20</v>
      </c>
      <c r="B5" s="4" t="n">
        <v>1117</v>
      </c>
      <c r="C5" s="2"/>
    </row>
    <row r="6" customFormat="false" ht="15" hidden="false" customHeight="false" outlineLevel="0" collapsed="false">
      <c r="A6" s="2" t="s">
        <v>21</v>
      </c>
      <c r="B6" s="4" t="n">
        <v>615</v>
      </c>
      <c r="C6" s="2" t="s">
        <v>17</v>
      </c>
    </row>
    <row r="7" customFormat="false" ht="15" hidden="false" customHeight="false" outlineLevel="0" collapsed="false">
      <c r="A7" s="2" t="s">
        <v>22</v>
      </c>
      <c r="B7" s="5" t="n">
        <v>0.885</v>
      </c>
      <c r="C7" s="2"/>
    </row>
    <row r="8" customFormat="false" ht="15" hidden="false" customHeight="false" outlineLevel="0" collapsed="false">
      <c r="A8" s="2" t="s">
        <v>23</v>
      </c>
      <c r="B8" s="5" t="n">
        <v>0.115</v>
      </c>
      <c r="C8" s="2"/>
    </row>
    <row r="9" customFormat="false" ht="15" hidden="false" customHeight="false" outlineLevel="0" collapsed="false">
      <c r="A9" s="2" t="s">
        <v>24</v>
      </c>
      <c r="B9" s="4" t="n">
        <v>89</v>
      </c>
      <c r="C9" s="2"/>
    </row>
    <row r="10" customFormat="false" ht="15" hidden="false" customHeight="false" outlineLevel="0" collapsed="false">
      <c r="A10" s="2" t="s">
        <v>25</v>
      </c>
      <c r="B10" s="4" t="n">
        <v>679</v>
      </c>
      <c r="C10" s="2" t="s">
        <v>26</v>
      </c>
    </row>
    <row r="11" customFormat="false" ht="15" hidden="false" customHeight="false" outlineLevel="0" collapsed="false">
      <c r="A11" s="2" t="s">
        <v>27</v>
      </c>
      <c r="B11" s="4" t="n">
        <v>612</v>
      </c>
      <c r="C11" s="2"/>
    </row>
    <row r="12" customFormat="false" ht="15" hidden="false" customHeight="false" outlineLevel="0" collapsed="false">
      <c r="A12" s="2" t="s">
        <v>28</v>
      </c>
      <c r="B12" s="4" t="n">
        <v>67</v>
      </c>
      <c r="C12" s="2" t="s">
        <v>29</v>
      </c>
    </row>
    <row r="13" customFormat="false" ht="15" hidden="false" customHeight="false" outlineLevel="0" collapsed="false">
      <c r="A13" s="2" t="s">
        <v>30</v>
      </c>
      <c r="B13" s="4" t="n">
        <v>149</v>
      </c>
      <c r="C13" s="2" t="s">
        <v>31</v>
      </c>
    </row>
    <row r="16" customFormat="false" ht="15" hidden="false" customHeight="false" outlineLevel="0" collapsed="false">
      <c r="A16" s="3" t="s">
        <v>32</v>
      </c>
      <c r="B16" s="3" t="s">
        <v>33</v>
      </c>
      <c r="C16" s="3" t="s">
        <v>34</v>
      </c>
      <c r="D16" s="3" t="s">
        <v>16</v>
      </c>
      <c r="E16" s="3" t="s">
        <v>21</v>
      </c>
      <c r="F16" s="3" t="s">
        <v>35</v>
      </c>
    </row>
    <row r="17" customFormat="false" ht="15" hidden="false" customHeight="false" outlineLevel="0" collapsed="false">
      <c r="A17" s="2" t="s">
        <v>36</v>
      </c>
      <c r="B17" s="5" t="n">
        <v>0.574</v>
      </c>
      <c r="C17" s="5" t="n">
        <v>0.434</v>
      </c>
      <c r="D17" s="4" t="n">
        <f aca="false">B17*$B$2</f>
        <v>4771.088</v>
      </c>
      <c r="E17" s="4" t="n">
        <f aca="false">C17*$B$6</f>
        <v>266.91</v>
      </c>
      <c r="F17" s="5" t="n">
        <f aca="false">IF(D17&gt;0,E17/D17,"")</f>
        <v>0.0559432146294514</v>
      </c>
    </row>
    <row r="18" customFormat="false" ht="15" hidden="false" customHeight="false" outlineLevel="0" collapsed="false">
      <c r="A18" s="2" t="s">
        <v>37</v>
      </c>
      <c r="B18" s="5" t="n">
        <v>0.346</v>
      </c>
      <c r="C18" s="5" t="n">
        <v>0.275</v>
      </c>
      <c r="D18" s="4" t="n">
        <f aca="false">B18*$B$2</f>
        <v>2875.952</v>
      </c>
      <c r="E18" s="4" t="n">
        <f aca="false">C18*$B$6</f>
        <v>169.125</v>
      </c>
      <c r="F18" s="5" t="n">
        <f aca="false">IF(D18&gt;0,E18/D18,"")</f>
        <v>0.0588066142967616</v>
      </c>
    </row>
    <row r="19" customFormat="false" ht="15" hidden="false" customHeight="false" outlineLevel="0" collapsed="false">
      <c r="A19" s="2" t="s">
        <v>38</v>
      </c>
      <c r="B19" s="5" t="n">
        <v>0.08</v>
      </c>
      <c r="C19" s="5" t="n">
        <v>0.291</v>
      </c>
      <c r="D19" s="4" t="n">
        <f aca="false">B19*$B$2</f>
        <v>664.96</v>
      </c>
      <c r="E19" s="4" t="n">
        <f aca="false">C19*$B$6</f>
        <v>178.965</v>
      </c>
      <c r="F19" s="5" t="n">
        <f aca="false">IF(D19&gt;0,E19/D19,"")</f>
        <v>0.269136489412897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7"/>
  </cols>
  <sheetData>
    <row r="1" customFormat="false" ht="15" hidden="false" customHeight="false" outlineLevel="0" collapsed="false">
      <c r="A1" s="3" t="s">
        <v>39</v>
      </c>
      <c r="B1" s="3" t="s">
        <v>40</v>
      </c>
      <c r="C1" s="3" t="s">
        <v>41</v>
      </c>
      <c r="D1" s="3" t="s">
        <v>32</v>
      </c>
      <c r="E1" s="3" t="s">
        <v>42</v>
      </c>
      <c r="F1" s="3" t="s">
        <v>43</v>
      </c>
      <c r="G1" s="3" t="s">
        <v>44</v>
      </c>
      <c r="H1" s="3" t="s">
        <v>45</v>
      </c>
    </row>
    <row r="2" customFormat="false" ht="15" hidden="false" customHeight="false" outlineLevel="0" collapsed="false">
      <c r="A2" s="2" t="n">
        <v>1</v>
      </c>
      <c r="B2" s="2" t="s">
        <v>46</v>
      </c>
      <c r="C2" s="2" t="s">
        <v>47</v>
      </c>
      <c r="D2" s="2" t="s">
        <v>48</v>
      </c>
      <c r="E2" s="6" t="n">
        <v>46284</v>
      </c>
      <c r="F2" s="4" t="n">
        <v>1200</v>
      </c>
      <c r="G2" s="4" t="n">
        <v>64</v>
      </c>
      <c r="H2" s="5" t="n">
        <f aca="false">IF(AND(ISNUMBER(F2),ISNUMBER(G2)),G2/F2,"")</f>
        <v>0.0533333333333333</v>
      </c>
    </row>
    <row r="3" customFormat="false" ht="15" hidden="false" customHeight="false" outlineLevel="0" collapsed="false">
      <c r="A3" s="2" t="n">
        <v>2</v>
      </c>
      <c r="B3" s="2" t="s">
        <v>49</v>
      </c>
      <c r="C3" s="2" t="s">
        <v>50</v>
      </c>
      <c r="D3" s="2" t="s">
        <v>51</v>
      </c>
      <c r="E3" s="6" t="n">
        <v>46268</v>
      </c>
      <c r="F3" s="4" t="n">
        <v>649</v>
      </c>
      <c r="G3" s="4" t="n">
        <v>28</v>
      </c>
      <c r="H3" s="5" t="n">
        <f aca="false">IF(AND(ISNUMBER(F3),ISNUMBER(G3)),G3/F3,"")</f>
        <v>0.0431432973805855</v>
      </c>
    </row>
    <row r="4" customFormat="false" ht="15" hidden="false" customHeight="false" outlineLevel="0" collapsed="false">
      <c r="A4" s="2" t="n">
        <v>3</v>
      </c>
      <c r="B4" s="2" t="s">
        <v>52</v>
      </c>
      <c r="C4" s="2" t="s">
        <v>53</v>
      </c>
      <c r="D4" s="2" t="s">
        <v>54</v>
      </c>
      <c r="E4" s="6" t="n">
        <v>46276</v>
      </c>
      <c r="F4" s="4" t="n">
        <v>444</v>
      </c>
      <c r="G4" s="4" t="n">
        <v>9</v>
      </c>
      <c r="H4" s="5" t="n">
        <f aca="false">IF(AND(ISNUMBER(F4),ISNUMBER(G4)),G4/F4,"")</f>
        <v>0.0202702702702703</v>
      </c>
    </row>
    <row r="5" customFormat="false" ht="15" hidden="false" customHeight="false" outlineLevel="0" collapsed="false">
      <c r="A5" s="2" t="n">
        <v>4</v>
      </c>
      <c r="B5" s="2" t="s">
        <v>55</v>
      </c>
      <c r="C5" s="2" t="s">
        <v>47</v>
      </c>
      <c r="D5" s="2" t="s">
        <v>48</v>
      </c>
      <c r="E5" s="6" t="n">
        <v>46286</v>
      </c>
      <c r="F5" s="4" t="n">
        <v>415</v>
      </c>
      <c r="G5" s="4" t="n">
        <v>37</v>
      </c>
      <c r="H5" s="5" t="n">
        <f aca="false">IF(AND(ISNUMBER(F5),ISNUMBER(G5)),G5/F5,"")</f>
        <v>0.0891566265060241</v>
      </c>
    </row>
    <row r="6" customFormat="false" ht="15" hidden="false" customHeight="false" outlineLevel="0" collapsed="false">
      <c r="A6" s="2" t="n">
        <v>5</v>
      </c>
      <c r="B6" s="2" t="s">
        <v>56</v>
      </c>
      <c r="C6" s="2" t="s">
        <v>57</v>
      </c>
      <c r="D6" s="2" t="s">
        <v>51</v>
      </c>
      <c r="E6" s="6" t="n">
        <v>46265</v>
      </c>
      <c r="F6" s="4" t="n">
        <v>356</v>
      </c>
      <c r="G6" s="4" t="n">
        <v>37</v>
      </c>
      <c r="H6" s="5" t="n">
        <f aca="false">IF(AND(ISNUMBER(F6),ISNUMBER(G6)),G6/F6,"")</f>
        <v>0.103932584269663</v>
      </c>
    </row>
    <row r="7" customFormat="false" ht="15" hidden="false" customHeight="false" outlineLevel="0" collapsed="false">
      <c r="A7" s="2" t="n">
        <v>6</v>
      </c>
      <c r="B7" s="2" t="s">
        <v>58</v>
      </c>
      <c r="C7" s="2" t="s">
        <v>59</v>
      </c>
      <c r="D7" s="2" t="s">
        <v>51</v>
      </c>
      <c r="E7" s="6"/>
      <c r="F7" s="4" t="n">
        <v>328</v>
      </c>
      <c r="G7" s="4" t="n">
        <v>25</v>
      </c>
      <c r="H7" s="5" t="n">
        <f aca="false">IF(AND(ISNUMBER(F7),ISNUMBER(G7)),G7/F7,"")</f>
        <v>0.076219512195122</v>
      </c>
    </row>
    <row r="8" customFormat="false" ht="15" hidden="false" customHeight="false" outlineLevel="0" collapsed="false">
      <c r="A8" s="2" t="n">
        <v>7</v>
      </c>
      <c r="B8" s="2" t="s">
        <v>60</v>
      </c>
      <c r="C8" s="2" t="s">
        <v>47</v>
      </c>
      <c r="D8" s="2" t="s">
        <v>51</v>
      </c>
      <c r="E8" s="6"/>
      <c r="F8" s="4" t="n">
        <v>325</v>
      </c>
      <c r="G8" s="4" t="n">
        <v>24</v>
      </c>
      <c r="H8" s="5" t="n">
        <f aca="false">IF(AND(ISNUMBER(F8),ISNUMBER(G8)),G8/F8,"")</f>
        <v>0.0738461538461539</v>
      </c>
    </row>
    <row r="9" customFormat="false" ht="15" hidden="false" customHeight="false" outlineLevel="0" collapsed="false">
      <c r="A9" s="2" t="n">
        <v>8</v>
      </c>
      <c r="B9" s="2" t="s">
        <v>61</v>
      </c>
      <c r="C9" s="2" t="s">
        <v>47</v>
      </c>
      <c r="D9" s="2" t="s">
        <v>48</v>
      </c>
      <c r="E9" s="6"/>
      <c r="F9" s="4" t="n">
        <v>324</v>
      </c>
      <c r="G9" s="4" t="n">
        <v>23</v>
      </c>
      <c r="H9" s="5" t="n">
        <f aca="false">IF(AND(ISNUMBER(F9),ISNUMBER(G9)),G9/F9,"")</f>
        <v>0.0709876543209877</v>
      </c>
    </row>
    <row r="10" customFormat="false" ht="15" hidden="false" customHeight="false" outlineLevel="0" collapsed="false">
      <c r="A10" s="2" t="n">
        <v>9</v>
      </c>
      <c r="B10" s="2" t="s">
        <v>62</v>
      </c>
      <c r="C10" s="2" t="s">
        <v>63</v>
      </c>
      <c r="D10" s="2" t="s">
        <v>51</v>
      </c>
      <c r="E10" s="6" t="n">
        <v>46278</v>
      </c>
      <c r="F10" s="4" t="n">
        <v>311</v>
      </c>
      <c r="G10" s="4" t="n">
        <v>37</v>
      </c>
      <c r="H10" s="5" t="n">
        <f aca="false">IF(AND(ISNUMBER(F10),ISNUMBER(G10)),G10/F10,"")</f>
        <v>0.118971061093248</v>
      </c>
    </row>
    <row r="11" customFormat="false" ht="15" hidden="false" customHeight="false" outlineLevel="0" collapsed="false">
      <c r="A11" s="2" t="n">
        <v>10</v>
      </c>
      <c r="B11" s="2" t="s">
        <v>64</v>
      </c>
      <c r="C11" s="2" t="s">
        <v>63</v>
      </c>
      <c r="D11" s="2" t="s">
        <v>48</v>
      </c>
      <c r="E11" s="6"/>
      <c r="F11" s="4" t="n">
        <v>291</v>
      </c>
      <c r="G11" s="4" t="n">
        <v>27</v>
      </c>
      <c r="H11" s="5" t="n">
        <f aca="false">IF(AND(ISNUMBER(F11),ISNUMBER(G11)),G11/F11,"")</f>
        <v>0.0927835051546392</v>
      </c>
    </row>
    <row r="12" customFormat="false" ht="15" hidden="false" customHeight="false" outlineLevel="0" collapsed="false">
      <c r="A12" s="2" t="n">
        <v>11</v>
      </c>
      <c r="B12" s="2" t="s">
        <v>65</v>
      </c>
      <c r="C12" s="2" t="s">
        <v>63</v>
      </c>
      <c r="D12" s="2" t="s">
        <v>54</v>
      </c>
      <c r="E12" s="6"/>
      <c r="F12" s="4" t="n">
        <v>92</v>
      </c>
      <c r="G12" s="4" t="n">
        <v>7</v>
      </c>
      <c r="H12" s="5" t="n">
        <f aca="false">IF(AND(ISNUMBER(F12),ISNUMBER(G12)),G12/F12,"")</f>
        <v>0.0760869565217391</v>
      </c>
    </row>
    <row r="13" customFormat="false" ht="15" hidden="false" customHeight="false" outlineLevel="0" collapsed="false">
      <c r="A13" s="2" t="n">
        <v>12</v>
      </c>
      <c r="B13" s="2" t="s">
        <v>66</v>
      </c>
      <c r="C13" s="2" t="s">
        <v>57</v>
      </c>
      <c r="D13" s="2" t="s">
        <v>54</v>
      </c>
      <c r="E13" s="6"/>
      <c r="F13" s="4" t="n">
        <v>87</v>
      </c>
      <c r="G13" s="4"/>
      <c r="H13" s="5" t="str">
        <f aca="false">IF(AND(ISNUMBER(F13),ISNUMBER(G13)),G13/F13,"")</f>
        <v/>
      </c>
    </row>
    <row r="14" customFormat="false" ht="15" hidden="false" customHeight="false" outlineLevel="0" collapsed="false">
      <c r="A14" s="2" t="n">
        <v>13</v>
      </c>
      <c r="B14" s="2" t="s">
        <v>67</v>
      </c>
      <c r="C14" s="2" t="s">
        <v>68</v>
      </c>
      <c r="D14" s="2" t="s">
        <v>54</v>
      </c>
      <c r="E14" s="6"/>
      <c r="F14" s="4" t="n">
        <v>85</v>
      </c>
      <c r="G14" s="4"/>
      <c r="H14" s="5" t="str">
        <f aca="false">IF(AND(ISNUMBER(F14),ISNUMBER(G14)),G14/F14,"")</f>
        <v/>
      </c>
    </row>
    <row r="15" customFormat="false" ht="15" hidden="false" customHeight="false" outlineLevel="0" collapsed="false">
      <c r="A15" s="2" t="n">
        <v>14</v>
      </c>
      <c r="B15" s="2" t="s">
        <v>69</v>
      </c>
      <c r="C15" s="2" t="s">
        <v>63</v>
      </c>
      <c r="D15" s="2" t="s">
        <v>54</v>
      </c>
      <c r="E15" s="6"/>
      <c r="F15" s="4" t="n">
        <v>84</v>
      </c>
      <c r="G15" s="4"/>
      <c r="H15" s="5" t="str">
        <f aca="false">IF(AND(ISNUMBER(F15),ISNUMBER(G15)),G15/F15,"")</f>
        <v/>
      </c>
    </row>
    <row r="16" customFormat="false" ht="15" hidden="false" customHeight="false" outlineLevel="0" collapsed="false">
      <c r="A16" s="2" t="n">
        <v>15</v>
      </c>
      <c r="B16" s="2" t="s">
        <v>70</v>
      </c>
      <c r="C16" s="2" t="s">
        <v>53</v>
      </c>
      <c r="D16" s="2" t="s">
        <v>54</v>
      </c>
      <c r="E16" s="6"/>
      <c r="F16" s="4" t="n">
        <v>82</v>
      </c>
      <c r="G16" s="4"/>
      <c r="H16" s="5" t="str">
        <f aca="false">IF(AND(ISNUMBER(F16),ISNUMBER(G16)),G16/F16,"")</f>
        <v/>
      </c>
    </row>
    <row r="17" customFormat="false" ht="15" hidden="false" customHeight="false" outlineLevel="0" collapsed="false">
      <c r="A17" s="2" t="n">
        <v>16</v>
      </c>
      <c r="B17" s="2" t="s">
        <v>71</v>
      </c>
      <c r="C17" s="2" t="s">
        <v>53</v>
      </c>
      <c r="D17" s="2" t="s">
        <v>54</v>
      </c>
      <c r="E17" s="6"/>
      <c r="F17" s="4" t="n">
        <v>82</v>
      </c>
      <c r="G17" s="4"/>
      <c r="H17" s="5" t="str">
        <f aca="false">IF(AND(ISNUMBER(F17),ISNUMBER(G17)),G17/F17,"")</f>
        <v/>
      </c>
    </row>
    <row r="18" customFormat="false" ht="15" hidden="false" customHeight="false" outlineLevel="0" collapsed="false">
      <c r="A18" s="2" t="n">
        <v>17</v>
      </c>
      <c r="B18" s="2" t="s">
        <v>72</v>
      </c>
      <c r="C18" s="2" t="s">
        <v>53</v>
      </c>
      <c r="D18" s="2" t="s">
        <v>54</v>
      </c>
      <c r="E18" s="6"/>
      <c r="F18" s="4" t="n">
        <v>80</v>
      </c>
      <c r="G18" s="4"/>
      <c r="H18" s="5" t="str">
        <f aca="false">IF(AND(ISNUMBER(F18),ISNUMBER(G18)),G18/F18,"")</f>
        <v/>
      </c>
    </row>
    <row r="19" customFormat="false" ht="15" hidden="false" customHeight="false" outlineLevel="0" collapsed="false">
      <c r="A19" s="2" t="n">
        <v>18</v>
      </c>
      <c r="B19" s="2" t="s">
        <v>73</v>
      </c>
      <c r="C19" s="2" t="s">
        <v>68</v>
      </c>
      <c r="D19" s="2" t="s">
        <v>54</v>
      </c>
      <c r="E19" s="6"/>
      <c r="F19" s="4" t="n">
        <v>77</v>
      </c>
      <c r="G19" s="4"/>
      <c r="H19" s="5" t="str">
        <f aca="false">IF(AND(ISNUMBER(F19),ISNUMBER(G19)),G19/F19,"")</f>
        <v/>
      </c>
    </row>
    <row r="20" customFormat="false" ht="15" hidden="false" customHeight="false" outlineLevel="0" collapsed="false">
      <c r="A20" s="2" t="n">
        <v>19</v>
      </c>
      <c r="B20" s="2" t="s">
        <v>74</v>
      </c>
      <c r="C20" s="2" t="s">
        <v>75</v>
      </c>
      <c r="D20" s="2" t="s">
        <v>54</v>
      </c>
      <c r="E20" s="6"/>
      <c r="F20" s="4" t="n">
        <v>76</v>
      </c>
      <c r="G20" s="4" t="n">
        <v>8</v>
      </c>
      <c r="H20" s="5" t="n">
        <f aca="false">IF(AND(ISNUMBER(F20),ISNUMBER(G20)),G20/F20,"")</f>
        <v>0.105263157894737</v>
      </c>
    </row>
    <row r="21" customFormat="false" ht="15" hidden="false" customHeight="false" outlineLevel="0" collapsed="false">
      <c r="A21" s="2" t="n">
        <v>20</v>
      </c>
      <c r="B21" s="2" t="s">
        <v>76</v>
      </c>
      <c r="C21" s="2" t="s">
        <v>53</v>
      </c>
      <c r="D21" s="2" t="s">
        <v>54</v>
      </c>
      <c r="E21" s="6"/>
      <c r="F21" s="4" t="n">
        <v>72</v>
      </c>
      <c r="G21" s="4"/>
      <c r="H21" s="5" t="str">
        <f aca="false">IF(AND(ISNUMBER(F21),ISNUMBER(G21)),G21/F21,"")</f>
        <v/>
      </c>
    </row>
    <row r="22" customFormat="false" ht="15" hidden="false" customHeight="false" outlineLevel="0" collapsed="false">
      <c r="A22" s="2" t="n">
        <v>21</v>
      </c>
      <c r="B22" s="2" t="s">
        <v>77</v>
      </c>
      <c r="C22" s="2" t="s">
        <v>75</v>
      </c>
      <c r="D22" s="2" t="s">
        <v>54</v>
      </c>
      <c r="E22" s="6"/>
      <c r="F22" s="4" t="n">
        <v>71</v>
      </c>
      <c r="G22" s="4" t="n">
        <v>7</v>
      </c>
      <c r="H22" s="5" t="n">
        <f aca="false">IF(AND(ISNUMBER(F22),ISNUMBER(G22)),G22/F22,"")</f>
        <v>0.0985915492957746</v>
      </c>
    </row>
    <row r="23" customFormat="false" ht="15" hidden="false" customHeight="false" outlineLevel="0" collapsed="false">
      <c r="A23" s="2" t="n">
        <v>22</v>
      </c>
      <c r="B23" s="2" t="s">
        <v>78</v>
      </c>
      <c r="C23" s="2" t="s">
        <v>79</v>
      </c>
      <c r="D23" s="2" t="s">
        <v>54</v>
      </c>
      <c r="E23" s="6"/>
      <c r="F23" s="4" t="n">
        <v>71</v>
      </c>
      <c r="G23" s="4"/>
      <c r="H23" s="5" t="str">
        <f aca="false">IF(AND(ISNUMBER(F23),ISNUMBER(G23)),G23/F23,"")</f>
        <v/>
      </c>
    </row>
    <row r="24" customFormat="false" ht="15" hidden="false" customHeight="false" outlineLevel="0" collapsed="false">
      <c r="A24" s="2" t="n">
        <v>23</v>
      </c>
      <c r="B24" s="2" t="s">
        <v>80</v>
      </c>
      <c r="C24" s="2" t="s">
        <v>50</v>
      </c>
      <c r="D24" s="2" t="s">
        <v>54</v>
      </c>
      <c r="E24" s="6"/>
      <c r="F24" s="4" t="n">
        <v>70</v>
      </c>
      <c r="G24" s="4"/>
      <c r="H24" s="5" t="str">
        <f aca="false">IF(AND(ISNUMBER(F24),ISNUMBER(G24)),G24/F24,"")</f>
        <v/>
      </c>
    </row>
    <row r="25" customFormat="false" ht="15" hidden="false" customHeight="false" outlineLevel="0" collapsed="false">
      <c r="A25" s="2" t="n">
        <v>24</v>
      </c>
      <c r="B25" s="2" t="s">
        <v>81</v>
      </c>
      <c r="C25" s="2" t="s">
        <v>50</v>
      </c>
      <c r="D25" s="2" t="s">
        <v>54</v>
      </c>
      <c r="E25" s="6"/>
      <c r="F25" s="4" t="n">
        <v>69</v>
      </c>
      <c r="G25" s="4"/>
      <c r="H25" s="5" t="str">
        <f aca="false">IF(AND(ISNUMBER(F25),ISNUMBER(G25)),G25/F25,"")</f>
        <v/>
      </c>
    </row>
    <row r="26" customFormat="false" ht="15" hidden="false" customHeight="false" outlineLevel="0" collapsed="false">
      <c r="A26" s="2" t="n">
        <v>25</v>
      </c>
      <c r="B26" s="2" t="s">
        <v>82</v>
      </c>
      <c r="C26" s="2" t="s">
        <v>59</v>
      </c>
      <c r="D26" s="2" t="s">
        <v>54</v>
      </c>
      <c r="E26" s="6"/>
      <c r="F26" s="4" t="n">
        <v>67</v>
      </c>
      <c r="G26" s="4" t="n">
        <v>7</v>
      </c>
      <c r="H26" s="5" t="n">
        <f aca="false">IF(AND(ISNUMBER(F26),ISNUMBER(G26)),G26/F26,"")</f>
        <v>0.104477611940299</v>
      </c>
    </row>
    <row r="27" customFormat="false" ht="15" hidden="false" customHeight="false" outlineLevel="0" collapsed="false">
      <c r="A27" s="2" t="n">
        <v>26</v>
      </c>
      <c r="B27" s="2" t="s">
        <v>83</v>
      </c>
      <c r="C27" s="2" t="s">
        <v>84</v>
      </c>
      <c r="D27" s="2" t="s">
        <v>54</v>
      </c>
      <c r="E27" s="6"/>
      <c r="F27" s="4" t="n">
        <v>65</v>
      </c>
      <c r="G27" s="4" t="n">
        <v>6</v>
      </c>
      <c r="H27" s="5" t="n">
        <f aca="false">IF(AND(ISNUMBER(F27),ISNUMBER(G27)),G27/F27,"")</f>
        <v>0.0923076923076923</v>
      </c>
    </row>
    <row r="28" customFormat="false" ht="15" hidden="false" customHeight="false" outlineLevel="0" collapsed="false">
      <c r="A28" s="2" t="n">
        <v>27</v>
      </c>
      <c r="B28" s="2" t="s">
        <v>85</v>
      </c>
      <c r="C28" s="2" t="s">
        <v>84</v>
      </c>
      <c r="D28" s="2" t="s">
        <v>54</v>
      </c>
      <c r="E28" s="6"/>
      <c r="F28" s="4" t="n">
        <v>65</v>
      </c>
      <c r="G28" s="4" t="n">
        <v>6</v>
      </c>
      <c r="H28" s="5" t="n">
        <f aca="false">IF(AND(ISNUMBER(F28),ISNUMBER(G28)),G28/F28,"")</f>
        <v>0.0923076923076923</v>
      </c>
    </row>
    <row r="29" customFormat="false" ht="15" hidden="false" customHeight="false" outlineLevel="0" collapsed="false">
      <c r="A29" s="2" t="n">
        <v>28</v>
      </c>
      <c r="B29" s="2" t="s">
        <v>86</v>
      </c>
      <c r="C29" s="2" t="s">
        <v>47</v>
      </c>
      <c r="D29" s="2" t="s">
        <v>54</v>
      </c>
      <c r="E29" s="6"/>
      <c r="F29" s="4" t="n">
        <v>64</v>
      </c>
      <c r="G29" s="4" t="n">
        <v>8</v>
      </c>
      <c r="H29" s="5" t="n">
        <f aca="false">IF(AND(ISNUMBER(F29),ISNUMBER(G29)),G29/F29,"")</f>
        <v>0.125</v>
      </c>
    </row>
    <row r="30" customFormat="false" ht="15" hidden="false" customHeight="false" outlineLevel="0" collapsed="false">
      <c r="A30" s="2" t="n">
        <v>29</v>
      </c>
      <c r="B30" s="2" t="s">
        <v>87</v>
      </c>
      <c r="C30" s="2" t="s">
        <v>50</v>
      </c>
      <c r="D30" s="2" t="s">
        <v>54</v>
      </c>
      <c r="E30" s="6"/>
      <c r="F30" s="4" t="n">
        <v>64</v>
      </c>
      <c r="G30" s="4"/>
      <c r="H30" s="5" t="str">
        <f aca="false">IF(AND(ISNUMBER(F30),ISNUMBER(G30)),G30/F30,"")</f>
        <v/>
      </c>
    </row>
    <row r="31" customFormat="false" ht="15" hidden="false" customHeight="false" outlineLevel="0" collapsed="false">
      <c r="A31" s="2" t="n">
        <v>30</v>
      </c>
      <c r="B31" s="2" t="s">
        <v>88</v>
      </c>
      <c r="C31" s="2" t="s">
        <v>47</v>
      </c>
      <c r="D31" s="2" t="s">
        <v>54</v>
      </c>
      <c r="E31" s="6"/>
      <c r="F31" s="4" t="n">
        <v>63</v>
      </c>
      <c r="G31" s="4" t="n">
        <v>8</v>
      </c>
      <c r="H31" s="5" t="n">
        <f aca="false">IF(AND(ISNUMBER(F31),ISNUMBER(G31)),G31/F31,"")</f>
        <v>0.126984126984127</v>
      </c>
    </row>
    <row r="32" customFormat="false" ht="15" hidden="false" customHeight="false" outlineLevel="0" collapsed="false">
      <c r="A32" s="2" t="n">
        <v>31</v>
      </c>
      <c r="B32" s="2" t="s">
        <v>89</v>
      </c>
      <c r="C32" s="2" t="s">
        <v>47</v>
      </c>
      <c r="D32" s="2" t="s">
        <v>54</v>
      </c>
      <c r="E32" s="6"/>
      <c r="F32" s="4" t="n">
        <v>63</v>
      </c>
      <c r="G32" s="4" t="n">
        <v>8</v>
      </c>
      <c r="H32" s="5" t="n">
        <f aca="false">IF(AND(ISNUMBER(F32),ISNUMBER(G32)),G32/F32,"")</f>
        <v>0.126984126984127</v>
      </c>
    </row>
    <row r="33" customFormat="false" ht="15" hidden="false" customHeight="false" outlineLevel="0" collapsed="false">
      <c r="A33" s="2" t="n">
        <v>32</v>
      </c>
      <c r="B33" s="2" t="s">
        <v>90</v>
      </c>
      <c r="C33" s="2" t="s">
        <v>50</v>
      </c>
      <c r="D33" s="2" t="s">
        <v>54</v>
      </c>
      <c r="E33" s="6"/>
      <c r="F33" s="4" t="n">
        <v>63</v>
      </c>
      <c r="G33" s="4"/>
      <c r="H33" s="5" t="str">
        <f aca="false">IF(AND(ISNUMBER(F33),ISNUMBER(G33)),G33/F33,"")</f>
        <v/>
      </c>
    </row>
    <row r="34" customFormat="false" ht="15" hidden="false" customHeight="false" outlineLevel="0" collapsed="false">
      <c r="A34" s="2" t="n">
        <v>33</v>
      </c>
      <c r="B34" s="2" t="s">
        <v>91</v>
      </c>
      <c r="C34" s="2" t="s">
        <v>75</v>
      </c>
      <c r="D34" s="2" t="s">
        <v>54</v>
      </c>
      <c r="E34" s="6"/>
      <c r="F34" s="4" t="n">
        <v>62</v>
      </c>
      <c r="G34" s="4"/>
      <c r="H34" s="5" t="str">
        <f aca="false">IF(AND(ISNUMBER(F34),ISNUMBER(G34)),G34/F34,"")</f>
        <v/>
      </c>
    </row>
    <row r="35" customFormat="false" ht="15" hidden="false" customHeight="false" outlineLevel="0" collapsed="false">
      <c r="A35" s="2" t="n">
        <v>34</v>
      </c>
      <c r="B35" s="2" t="s">
        <v>92</v>
      </c>
      <c r="C35" s="2" t="s">
        <v>79</v>
      </c>
      <c r="D35" s="2" t="s">
        <v>54</v>
      </c>
      <c r="E35" s="6"/>
      <c r="F35" s="4" t="n">
        <v>61</v>
      </c>
      <c r="G35" s="4"/>
      <c r="H35" s="5" t="str">
        <f aca="false">IF(AND(ISNUMBER(F35),ISNUMBER(G35)),G35/F35,"")</f>
        <v/>
      </c>
    </row>
    <row r="36" customFormat="false" ht="15" hidden="false" customHeight="false" outlineLevel="0" collapsed="false">
      <c r="A36" s="2" t="n">
        <v>35</v>
      </c>
      <c r="B36" s="2" t="s">
        <v>93</v>
      </c>
      <c r="C36" s="2" t="s">
        <v>59</v>
      </c>
      <c r="D36" s="2" t="s">
        <v>54</v>
      </c>
      <c r="E36" s="6"/>
      <c r="F36" s="4" t="n">
        <v>60</v>
      </c>
      <c r="G36" s="4"/>
      <c r="H36" s="5" t="str">
        <f aca="false">IF(AND(ISNUMBER(F36),ISNUMBER(G36)),G36/F36,"")</f>
        <v/>
      </c>
    </row>
    <row r="37" customFormat="false" ht="15" hidden="false" customHeight="false" outlineLevel="0" collapsed="false">
      <c r="A37" s="2" t="n">
        <v>36</v>
      </c>
      <c r="B37" s="2" t="s">
        <v>94</v>
      </c>
      <c r="C37" s="2" t="s">
        <v>50</v>
      </c>
      <c r="D37" s="2" t="s">
        <v>54</v>
      </c>
      <c r="E37" s="6"/>
      <c r="F37" s="4" t="n">
        <v>60</v>
      </c>
      <c r="G37" s="4" t="n">
        <v>10</v>
      </c>
      <c r="H37" s="5" t="n">
        <f aca="false">IF(AND(ISNUMBER(F37),ISNUMBER(G37)),G37/F37,"")</f>
        <v>0.166666666666667</v>
      </c>
    </row>
    <row r="38" customFormat="false" ht="15" hidden="false" customHeight="false" outlineLevel="0" collapsed="false">
      <c r="A38" s="2" t="n">
        <v>37</v>
      </c>
      <c r="B38" s="2" t="s">
        <v>95</v>
      </c>
      <c r="C38" s="2" t="s">
        <v>50</v>
      </c>
      <c r="D38" s="2" t="s">
        <v>51</v>
      </c>
      <c r="E38" s="6"/>
      <c r="F38" s="4"/>
      <c r="G38" s="4" t="n">
        <v>50</v>
      </c>
      <c r="H38" s="5" t="str">
        <f aca="false">IF(AND(ISNUMBER(F38),ISNUMBER(G38)),G38/F38,"")</f>
        <v/>
      </c>
    </row>
    <row r="39" customFormat="false" ht="15" hidden="false" customHeight="false" outlineLevel="0" collapsed="false">
      <c r="A39" s="2" t="n">
        <v>38</v>
      </c>
      <c r="B39" s="2" t="s">
        <v>96</v>
      </c>
      <c r="C39" s="2" t="s">
        <v>59</v>
      </c>
      <c r="D39" s="2" t="s">
        <v>51</v>
      </c>
      <c r="E39" s="6"/>
      <c r="F39" s="4"/>
      <c r="G39" s="4" t="n">
        <v>28</v>
      </c>
      <c r="H39" s="5" t="str">
        <f aca="false">IF(AND(ISNUMBER(F39),ISNUMBER(G39)),G39/F39,"")</f>
        <v/>
      </c>
    </row>
    <row r="40" customFormat="false" ht="15" hidden="false" customHeight="false" outlineLevel="0" collapsed="false">
      <c r="A40" s="2" t="n">
        <v>39</v>
      </c>
      <c r="B40" s="2" t="s">
        <v>97</v>
      </c>
      <c r="C40" s="2" t="s">
        <v>59</v>
      </c>
      <c r="D40" s="2" t="s">
        <v>48</v>
      </c>
      <c r="E40" s="6"/>
      <c r="F40" s="4"/>
      <c r="G40" s="4" t="n">
        <v>20</v>
      </c>
      <c r="H40" s="5" t="str">
        <f aca="false">IF(AND(ISNUMBER(F40),ISNUMBER(G40)),G40/F40,"")</f>
        <v/>
      </c>
    </row>
    <row r="41" customFormat="false" ht="15" hidden="false" customHeight="false" outlineLevel="0" collapsed="false">
      <c r="A41" s="2" t="n">
        <v>40</v>
      </c>
      <c r="B41" s="2" t="s">
        <v>98</v>
      </c>
      <c r="C41" s="2" t="s">
        <v>59</v>
      </c>
      <c r="D41" s="2" t="s">
        <v>99</v>
      </c>
      <c r="E41" s="6"/>
      <c r="F41" s="4"/>
      <c r="G41" s="4" t="n">
        <v>17</v>
      </c>
      <c r="H41" s="5" t="str">
        <f aca="false">IF(AND(ISNUMBER(F41),ISNUMBER(G41)),G41/F41,"")</f>
        <v/>
      </c>
    </row>
    <row r="42" customFormat="false" ht="15" hidden="false" customHeight="false" outlineLevel="0" collapsed="false">
      <c r="A42" s="2" t="n">
        <v>41</v>
      </c>
      <c r="B42" s="2" t="s">
        <v>100</v>
      </c>
      <c r="C42" s="2" t="s">
        <v>50</v>
      </c>
      <c r="D42" s="2" t="s">
        <v>99</v>
      </c>
      <c r="E42" s="6"/>
      <c r="F42" s="4"/>
      <c r="G42" s="4" t="n">
        <v>16</v>
      </c>
      <c r="H42" s="5" t="str">
        <f aca="false">IF(AND(ISNUMBER(F42),ISNUMBER(G42)),G42/F42,"")</f>
        <v/>
      </c>
    </row>
    <row r="43" customFormat="false" ht="15" hidden="false" customHeight="false" outlineLevel="0" collapsed="false">
      <c r="A43" s="2" t="n">
        <v>42</v>
      </c>
      <c r="B43" s="2" t="s">
        <v>101</v>
      </c>
      <c r="C43" s="2" t="s">
        <v>53</v>
      </c>
      <c r="D43" s="2" t="s">
        <v>99</v>
      </c>
      <c r="E43" s="6"/>
      <c r="F43" s="4"/>
      <c r="G43" s="4" t="n">
        <v>14</v>
      </c>
      <c r="H43" s="5" t="str">
        <f aca="false">IF(AND(ISNUMBER(F43),ISNUMBER(G43)),G43/F43,"")</f>
        <v/>
      </c>
    </row>
    <row r="44" customFormat="false" ht="15" hidden="false" customHeight="false" outlineLevel="0" collapsed="false">
      <c r="A44" s="2" t="n">
        <v>43</v>
      </c>
      <c r="B44" s="2" t="s">
        <v>102</v>
      </c>
      <c r="C44" s="2" t="s">
        <v>59</v>
      </c>
      <c r="D44" s="2" t="s">
        <v>99</v>
      </c>
      <c r="E44" s="6"/>
      <c r="F44" s="4"/>
      <c r="G44" s="4" t="n">
        <v>13</v>
      </c>
      <c r="H44" s="5" t="str">
        <f aca="false">IF(AND(ISNUMBER(F44),ISNUMBER(G44)),G44/F44,"")</f>
        <v/>
      </c>
    </row>
    <row r="45" customFormat="false" ht="15" hidden="false" customHeight="false" outlineLevel="0" collapsed="false">
      <c r="A45" s="2" t="n">
        <v>44</v>
      </c>
      <c r="B45" s="2" t="s">
        <v>103</v>
      </c>
      <c r="C45" s="2" t="s">
        <v>57</v>
      </c>
      <c r="D45" s="2" t="s">
        <v>99</v>
      </c>
      <c r="E45" s="6"/>
      <c r="F45" s="4"/>
      <c r="G45" s="4" t="n">
        <v>13</v>
      </c>
      <c r="H45" s="5" t="str">
        <f aca="false">IF(AND(ISNUMBER(F45),ISNUMBER(G45)),G45/F45,"")</f>
        <v/>
      </c>
    </row>
    <row r="46" customFormat="false" ht="15" hidden="false" customHeight="false" outlineLevel="0" collapsed="false">
      <c r="A46" s="2" t="n">
        <v>45</v>
      </c>
      <c r="B46" s="2" t="s">
        <v>104</v>
      </c>
      <c r="C46" s="2" t="s">
        <v>47</v>
      </c>
      <c r="D46" s="2" t="s">
        <v>54</v>
      </c>
      <c r="E46" s="6"/>
      <c r="F46" s="4"/>
      <c r="G46" s="4" t="n">
        <v>9</v>
      </c>
      <c r="H46" s="5" t="str">
        <f aca="false">IF(AND(ISNUMBER(F46),ISNUMBER(G46)),G46/F46,"")</f>
        <v/>
      </c>
    </row>
    <row r="47" customFormat="false" ht="15" hidden="false" customHeight="false" outlineLevel="0" collapsed="false">
      <c r="A47" s="2" t="n">
        <v>46</v>
      </c>
      <c r="B47" s="2" t="s">
        <v>105</v>
      </c>
      <c r="C47" s="2" t="s">
        <v>50</v>
      </c>
      <c r="D47" s="2" t="s">
        <v>54</v>
      </c>
      <c r="E47" s="6"/>
      <c r="F47" s="4"/>
      <c r="G47" s="4" t="n">
        <v>8</v>
      </c>
      <c r="H47" s="5" t="str">
        <f aca="false">IF(AND(ISNUMBER(F47),ISNUMBER(G47)),G47/F47,"")</f>
        <v/>
      </c>
    </row>
    <row r="48" customFormat="false" ht="15" hidden="false" customHeight="false" outlineLevel="0" collapsed="false">
      <c r="A48" s="2" t="n">
        <v>47</v>
      </c>
      <c r="B48" s="2" t="s">
        <v>106</v>
      </c>
      <c r="C48" s="2" t="s">
        <v>50</v>
      </c>
      <c r="D48" s="2" t="s">
        <v>54</v>
      </c>
      <c r="E48" s="6"/>
      <c r="F48" s="4"/>
      <c r="G48" s="4" t="n">
        <v>8</v>
      </c>
      <c r="H48" s="5" t="str">
        <f aca="false">IF(AND(ISNUMBER(F48),ISNUMBER(G48)),G48/F48,"")</f>
        <v/>
      </c>
    </row>
    <row r="49" customFormat="false" ht="15" hidden="false" customHeight="false" outlineLevel="0" collapsed="false">
      <c r="A49" s="2" t="n">
        <v>48</v>
      </c>
      <c r="B49" s="2" t="s">
        <v>107</v>
      </c>
      <c r="C49" s="2" t="s">
        <v>79</v>
      </c>
      <c r="D49" s="2" t="s">
        <v>54</v>
      </c>
      <c r="E49" s="6"/>
      <c r="F49" s="4"/>
      <c r="G49" s="4" t="n">
        <v>7</v>
      </c>
      <c r="H49" s="5" t="str">
        <f aca="false">IF(AND(ISNUMBER(F49),ISNUMBER(G49)),G49/F49,"")</f>
        <v/>
      </c>
    </row>
    <row r="50" customFormat="false" ht="15" hidden="false" customHeight="false" outlineLevel="0" collapsed="false">
      <c r="A50" s="2" t="n">
        <v>49</v>
      </c>
      <c r="B50" s="2" t="s">
        <v>108</v>
      </c>
      <c r="C50" s="2" t="s">
        <v>47</v>
      </c>
      <c r="D50" s="2" t="s">
        <v>54</v>
      </c>
      <c r="E50" s="6"/>
      <c r="F50" s="4"/>
      <c r="G50" s="4" t="n">
        <v>6</v>
      </c>
      <c r="H50" s="5" t="str">
        <f aca="false">IF(AND(ISNUMBER(F50),ISNUMBER(G50)),G50/F50,"")</f>
        <v/>
      </c>
    </row>
    <row r="51" customFormat="false" ht="15" hidden="false" customHeight="false" outlineLevel="0" collapsed="false">
      <c r="A51" s="2" t="n">
        <v>50</v>
      </c>
      <c r="B51" s="2" t="s">
        <v>109</v>
      </c>
      <c r="C51" s="2" t="s">
        <v>50</v>
      </c>
      <c r="D51" s="2" t="s">
        <v>54</v>
      </c>
      <c r="E51" s="6"/>
      <c r="F51" s="4"/>
      <c r="G51" s="4" t="n">
        <v>6</v>
      </c>
      <c r="H51" s="5" t="str">
        <f aca="false">IF(AND(ISNUMBER(F51),ISNUMBER(G51)),G51/F51,"")</f>
        <v/>
      </c>
    </row>
    <row r="52" customFormat="false" ht="15" hidden="false" customHeight="false" outlineLevel="0" collapsed="false">
      <c r="A52" s="2" t="n">
        <v>51</v>
      </c>
      <c r="B52" s="2" t="s">
        <v>110</v>
      </c>
      <c r="C52" s="2" t="s">
        <v>75</v>
      </c>
      <c r="D52" s="2" t="s">
        <v>54</v>
      </c>
      <c r="E52" s="6"/>
      <c r="F52" s="4"/>
      <c r="G52" s="4" t="n">
        <v>6</v>
      </c>
      <c r="H52" s="5" t="str">
        <f aca="false">IF(AND(ISNUMBER(F52),ISNUMBER(G52)),G52/F52,"")</f>
        <v/>
      </c>
    </row>
    <row r="53" customFormat="false" ht="15" hidden="false" customHeight="false" outlineLevel="0" collapsed="false">
      <c r="A53" s="2" t="n">
        <v>52</v>
      </c>
      <c r="B53" s="2" t="s">
        <v>111</v>
      </c>
      <c r="C53" s="2" t="s">
        <v>59</v>
      </c>
      <c r="D53" s="2" t="s">
        <v>54</v>
      </c>
      <c r="E53" s="6"/>
      <c r="F53" s="4"/>
      <c r="G53" s="4" t="n">
        <v>6</v>
      </c>
      <c r="H53" s="5" t="str">
        <f aca="false">IF(AND(ISNUMBER(F53),ISNUMBER(G53)),G53/F53,"")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3" t="s">
        <v>112</v>
      </c>
      <c r="B1" s="3" t="s">
        <v>113</v>
      </c>
      <c r="C1" s="3" t="s">
        <v>114</v>
      </c>
    </row>
    <row r="2" customFormat="false" ht="15" hidden="false" customHeight="false" outlineLevel="0" collapsed="false">
      <c r="A2" s="2" t="s">
        <v>115</v>
      </c>
      <c r="B2" s="2" t="s">
        <v>116</v>
      </c>
      <c r="C2" s="2" t="n">
        <v>11</v>
      </c>
    </row>
    <row r="3" customFormat="false" ht="15" hidden="false" customHeight="false" outlineLevel="0" collapsed="false">
      <c r="A3" s="2" t="s">
        <v>115</v>
      </c>
      <c r="B3" s="2" t="s">
        <v>117</v>
      </c>
      <c r="C3" s="2" t="n">
        <v>43</v>
      </c>
    </row>
    <row r="4" customFormat="false" ht="15" hidden="false" customHeight="false" outlineLevel="0" collapsed="false">
      <c r="A4" s="2" t="s">
        <v>115</v>
      </c>
      <c r="B4" s="2" t="s">
        <v>118</v>
      </c>
      <c r="C4" s="2" t="n">
        <v>64</v>
      </c>
    </row>
    <row r="5" customFormat="false" ht="15" hidden="false" customHeight="false" outlineLevel="0" collapsed="false">
      <c r="A5" s="2" t="s">
        <v>115</v>
      </c>
      <c r="B5" s="2" t="s">
        <v>119</v>
      </c>
      <c r="C5" s="2" t="n">
        <v>68</v>
      </c>
    </row>
    <row r="6" customFormat="false" ht="15" hidden="false" customHeight="false" outlineLevel="0" collapsed="false">
      <c r="A6" s="2" t="s">
        <v>115</v>
      </c>
      <c r="B6" s="2" t="s">
        <v>120</v>
      </c>
      <c r="C6" s="2" t="n">
        <v>71</v>
      </c>
    </row>
    <row r="7" customFormat="false" ht="15" hidden="false" customHeight="false" outlineLevel="0" collapsed="false">
      <c r="A7" s="2" t="s">
        <v>115</v>
      </c>
      <c r="B7" s="2" t="s">
        <v>121</v>
      </c>
      <c r="C7" s="2" t="n">
        <v>73</v>
      </c>
    </row>
    <row r="8" customFormat="false" ht="15" hidden="false" customHeight="false" outlineLevel="0" collapsed="false">
      <c r="A8" s="2" t="s">
        <v>115</v>
      </c>
      <c r="B8" s="2" t="s">
        <v>122</v>
      </c>
      <c r="C8" s="2" t="n">
        <v>63</v>
      </c>
    </row>
    <row r="9" customFormat="false" ht="15" hidden="false" customHeight="false" outlineLevel="0" collapsed="false">
      <c r="A9" s="2" t="s">
        <v>115</v>
      </c>
      <c r="B9" s="2" t="s">
        <v>123</v>
      </c>
      <c r="C9" s="2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0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3" t="s">
        <v>124</v>
      </c>
      <c r="B1" s="3" t="s">
        <v>125</v>
      </c>
      <c r="C1" s="3" t="s">
        <v>126</v>
      </c>
      <c r="D1" s="3" t="s">
        <v>127</v>
      </c>
    </row>
    <row r="2" customFormat="false" ht="15" hidden="false" customHeight="false" outlineLevel="0" collapsed="false">
      <c r="A2" s="2" t="s">
        <v>128</v>
      </c>
      <c r="B2" s="2" t="s">
        <v>63</v>
      </c>
      <c r="C2" s="7" t="n">
        <v>13910</v>
      </c>
      <c r="D2" s="2" t="s">
        <v>129</v>
      </c>
    </row>
    <row r="3" customFormat="false" ht="15" hidden="false" customHeight="false" outlineLevel="0" collapsed="false">
      <c r="A3" s="2" t="s">
        <v>130</v>
      </c>
      <c r="B3" s="2" t="s">
        <v>63</v>
      </c>
      <c r="C3" s="7" t="n">
        <v>13910</v>
      </c>
      <c r="D3" s="2" t="s">
        <v>129</v>
      </c>
    </row>
    <row r="4" customFormat="false" ht="15" hidden="false" customHeight="false" outlineLevel="0" collapsed="false">
      <c r="A4" s="2" t="s">
        <v>131</v>
      </c>
      <c r="B4" s="2" t="s">
        <v>132</v>
      </c>
      <c r="C4" s="7" t="n">
        <v>45810</v>
      </c>
      <c r="D4" s="2" t="s">
        <v>129</v>
      </c>
    </row>
    <row r="5" customFormat="false" ht="15" hidden="false" customHeight="false" outlineLevel="0" collapsed="false">
      <c r="A5" s="2" t="s">
        <v>133</v>
      </c>
      <c r="B5" s="2" t="s">
        <v>132</v>
      </c>
      <c r="C5" s="7" t="n">
        <v>45810</v>
      </c>
      <c r="D5" s="2" t="s">
        <v>129</v>
      </c>
    </row>
    <row r="6" customFormat="false" ht="15" hidden="false" customHeight="false" outlineLevel="0" collapsed="false">
      <c r="A6" s="2" t="s">
        <v>134</v>
      </c>
      <c r="B6" s="2" t="s">
        <v>132</v>
      </c>
      <c r="C6" s="7" t="n">
        <v>12810</v>
      </c>
      <c r="D6" s="2" t="s">
        <v>129</v>
      </c>
    </row>
    <row r="7" customFormat="false" ht="15" hidden="false" customHeight="false" outlineLevel="0" collapsed="false">
      <c r="A7" s="2" t="s">
        <v>135</v>
      </c>
      <c r="B7" s="2" t="s">
        <v>136</v>
      </c>
      <c r="C7" s="7" t="n">
        <v>15900</v>
      </c>
      <c r="D7" s="2" t="s">
        <v>129</v>
      </c>
    </row>
    <row r="8" customFormat="false" ht="15" hidden="false" customHeight="false" outlineLevel="0" collapsed="false">
      <c r="A8" s="2" t="s">
        <v>137</v>
      </c>
      <c r="B8" s="2" t="s">
        <v>136</v>
      </c>
      <c r="C8" s="7" t="n">
        <v>13200</v>
      </c>
      <c r="D8" s="2" t="s">
        <v>129</v>
      </c>
    </row>
    <row r="9" customFormat="false" ht="15" hidden="false" customHeight="false" outlineLevel="0" collapsed="false">
      <c r="A9" s="2" t="s">
        <v>138</v>
      </c>
      <c r="B9" s="2" t="s">
        <v>136</v>
      </c>
      <c r="C9" s="7" t="n">
        <v>13200</v>
      </c>
      <c r="D9" s="2" t="s">
        <v>129</v>
      </c>
    </row>
    <row r="10" customFormat="false" ht="15" hidden="false" customHeight="false" outlineLevel="0" collapsed="false">
      <c r="A10" s="2" t="s">
        <v>139</v>
      </c>
      <c r="B10" s="2" t="s">
        <v>57</v>
      </c>
      <c r="C10" s="7" t="n">
        <v>12810</v>
      </c>
      <c r="D10" s="2" t="s">
        <v>129</v>
      </c>
    </row>
    <row r="11" customFormat="false" ht="15" hidden="false" customHeight="false" outlineLevel="0" collapsed="false">
      <c r="A11" s="2" t="s">
        <v>140</v>
      </c>
      <c r="B11" s="2" t="s">
        <v>141</v>
      </c>
      <c r="C11" s="7" t="n">
        <v>18310</v>
      </c>
      <c r="D11" s="2" t="s">
        <v>129</v>
      </c>
    </row>
    <row r="12" customFormat="false" ht="15" hidden="false" customHeight="false" outlineLevel="0" collapsed="false">
      <c r="A12" s="2" t="s">
        <v>142</v>
      </c>
      <c r="B12" s="2" t="s">
        <v>141</v>
      </c>
      <c r="C12" s="7" t="n">
        <v>13910</v>
      </c>
      <c r="D12" s="2" t="s">
        <v>129</v>
      </c>
    </row>
    <row r="13" customFormat="false" ht="15" hidden="false" customHeight="false" outlineLevel="0" collapsed="false">
      <c r="A13" s="2" t="s">
        <v>143</v>
      </c>
      <c r="B13" s="2" t="s">
        <v>141</v>
      </c>
      <c r="C13" s="7" t="n">
        <v>15100</v>
      </c>
      <c r="D13" s="2" t="s">
        <v>129</v>
      </c>
    </row>
    <row r="14" customFormat="false" ht="15" hidden="false" customHeight="false" outlineLevel="0" collapsed="false">
      <c r="A14" s="2" t="s">
        <v>144</v>
      </c>
      <c r="B14" s="2" t="s">
        <v>145</v>
      </c>
      <c r="C14" s="7" t="n">
        <v>22000</v>
      </c>
      <c r="D14" s="2" t="s">
        <v>129</v>
      </c>
    </row>
    <row r="15" customFormat="false" ht="15" hidden="false" customHeight="false" outlineLevel="0" collapsed="false">
      <c r="A15" s="2" t="s">
        <v>146</v>
      </c>
      <c r="B15" s="2" t="s">
        <v>145</v>
      </c>
      <c r="C15" s="7" t="n">
        <v>28000</v>
      </c>
      <c r="D15" s="2" t="s">
        <v>129</v>
      </c>
    </row>
    <row r="16" customFormat="false" ht="15" hidden="false" customHeight="false" outlineLevel="0" collapsed="false">
      <c r="A16" s="2" t="s">
        <v>147</v>
      </c>
      <c r="B16" s="2" t="s">
        <v>145</v>
      </c>
      <c r="C16" s="7" t="n">
        <v>19900</v>
      </c>
      <c r="D16" s="2" t="s">
        <v>129</v>
      </c>
    </row>
    <row r="17" customFormat="false" ht="15" hidden="false" customHeight="false" outlineLevel="0" collapsed="false">
      <c r="A17" s="2" t="s">
        <v>148</v>
      </c>
      <c r="B17" s="2" t="s">
        <v>145</v>
      </c>
      <c r="C17" s="7" t="n">
        <v>28000</v>
      </c>
      <c r="D17" s="2" t="s">
        <v>129</v>
      </c>
    </row>
    <row r="18" customFormat="false" ht="15" hidden="false" customHeight="false" outlineLevel="0" collapsed="false">
      <c r="A18" s="2" t="s">
        <v>149</v>
      </c>
      <c r="B18" s="2" t="s">
        <v>145</v>
      </c>
      <c r="C18" s="7" t="n">
        <v>27000</v>
      </c>
      <c r="D18" s="2" t="s">
        <v>129</v>
      </c>
    </row>
    <row r="19" customFormat="false" ht="15" hidden="false" customHeight="false" outlineLevel="0" collapsed="false">
      <c r="A19" s="2" t="s">
        <v>150</v>
      </c>
      <c r="B19" s="2" t="s">
        <v>145</v>
      </c>
      <c r="C19" s="7" t="n">
        <v>24200</v>
      </c>
      <c r="D19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9"/>
  </cols>
  <sheetData>
    <row r="1" customFormat="false" ht="15" hidden="false" customHeight="false" outlineLevel="0" collapsed="false">
      <c r="A1" s="3" t="s">
        <v>42</v>
      </c>
      <c r="B1" s="3" t="s">
        <v>113</v>
      </c>
      <c r="C1" s="3" t="s">
        <v>124</v>
      </c>
      <c r="D1" s="3" t="s">
        <v>125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</row>
    <row r="2" customFormat="false" ht="15" hidden="false" customHeight="false" outlineLevel="0" collapsed="false">
      <c r="A2" s="6" t="n">
        <v>46277</v>
      </c>
      <c r="B2" s="2"/>
      <c r="C2" s="2" t="s">
        <v>130</v>
      </c>
      <c r="D2" s="2" t="s">
        <v>63</v>
      </c>
      <c r="E2" s="2" t="s">
        <v>160</v>
      </c>
      <c r="F2" s="2" t="s">
        <v>161</v>
      </c>
      <c r="G2" s="2" t="n">
        <v>1</v>
      </c>
      <c r="H2" s="7" t="n">
        <v>11267</v>
      </c>
      <c r="I2" s="8" t="n">
        <v>11267</v>
      </c>
      <c r="J2" s="2" t="s">
        <v>162</v>
      </c>
      <c r="K2" s="2" t="s">
        <v>163</v>
      </c>
      <c r="L2" s="2" t="s">
        <v>164</v>
      </c>
      <c r="M2" s="2" t="n">
        <v>9</v>
      </c>
    </row>
    <row r="3" customFormat="false" ht="15" hidden="false" customHeight="false" outlineLevel="0" collapsed="false">
      <c r="A3" s="6" t="n">
        <v>46290</v>
      </c>
      <c r="B3" s="2"/>
      <c r="C3" s="2" t="s">
        <v>131</v>
      </c>
      <c r="D3" s="2" t="s">
        <v>132</v>
      </c>
      <c r="E3" s="2" t="s">
        <v>160</v>
      </c>
      <c r="F3" s="2" t="s">
        <v>161</v>
      </c>
      <c r="G3" s="2" t="n">
        <v>1</v>
      </c>
      <c r="H3" s="7" t="n">
        <v>37106</v>
      </c>
      <c r="I3" s="8" t="n">
        <v>37106</v>
      </c>
      <c r="J3" s="2" t="s">
        <v>162</v>
      </c>
      <c r="K3" s="2" t="s">
        <v>163</v>
      </c>
      <c r="L3" s="2" t="s">
        <v>164</v>
      </c>
      <c r="M3" s="2" t="n">
        <v>9</v>
      </c>
    </row>
    <row r="4" customFormat="false" ht="15" hidden="false" customHeight="false" outlineLevel="0" collapsed="false">
      <c r="A4" s="6" t="n">
        <v>46290</v>
      </c>
      <c r="B4" s="2"/>
      <c r="C4" s="2" t="s">
        <v>135</v>
      </c>
      <c r="D4" s="2" t="s">
        <v>136</v>
      </c>
      <c r="E4" s="2" t="s">
        <v>160</v>
      </c>
      <c r="F4" s="2" t="s">
        <v>165</v>
      </c>
      <c r="G4" s="2" t="n">
        <v>2</v>
      </c>
      <c r="H4" s="7" t="n">
        <v>15900</v>
      </c>
      <c r="I4" s="8" t="n">
        <v>0</v>
      </c>
      <c r="J4" s="2"/>
      <c r="K4" s="2" t="s">
        <v>163</v>
      </c>
      <c r="L4" s="2" t="s">
        <v>164</v>
      </c>
      <c r="M4" s="2" t="n">
        <v>9</v>
      </c>
    </row>
    <row r="5" customFormat="false" ht="15" hidden="false" customHeight="false" outlineLevel="0" collapsed="false">
      <c r="A5" s="6" t="n">
        <v>46290</v>
      </c>
      <c r="B5" s="2"/>
      <c r="C5" s="2" t="s">
        <v>130</v>
      </c>
      <c r="D5" s="2" t="s">
        <v>63</v>
      </c>
      <c r="E5" s="2" t="s">
        <v>160</v>
      </c>
      <c r="F5" s="2" t="s">
        <v>165</v>
      </c>
      <c r="G5" s="2" t="n">
        <v>1</v>
      </c>
      <c r="H5" s="7" t="n">
        <v>13910</v>
      </c>
      <c r="I5" s="8" t="n">
        <v>0</v>
      </c>
      <c r="J5" s="2"/>
      <c r="K5" s="2" t="s">
        <v>163</v>
      </c>
      <c r="L5" s="2" t="s">
        <v>164</v>
      </c>
      <c r="M5" s="2" t="n">
        <v>9</v>
      </c>
    </row>
    <row r="6" customFormat="false" ht="15" hidden="false" customHeight="false" outlineLevel="0" collapsed="false">
      <c r="A6" s="6" t="n">
        <v>46296</v>
      </c>
      <c r="B6" s="2" t="s">
        <v>166</v>
      </c>
      <c r="C6" s="2" t="s">
        <v>130</v>
      </c>
      <c r="D6" s="2" t="s">
        <v>63</v>
      </c>
      <c r="E6" s="2" t="s">
        <v>160</v>
      </c>
      <c r="F6" s="2" t="s">
        <v>165</v>
      </c>
      <c r="G6" s="2" t="n">
        <v>1</v>
      </c>
      <c r="H6" s="7" t="n">
        <v>13910</v>
      </c>
      <c r="I6" s="7" t="n">
        <f aca="false">IF(F6="Venta",G6*H6,0)</f>
        <v>0</v>
      </c>
      <c r="J6" s="2"/>
      <c r="K6" s="2" t="s">
        <v>167</v>
      </c>
      <c r="L6" s="2" t="s">
        <v>168</v>
      </c>
      <c r="M6" s="2" t="n">
        <v>10</v>
      </c>
    </row>
    <row r="7" customFormat="false" ht="15" hidden="false" customHeight="false" outlineLevel="0" collapsed="false">
      <c r="A7" s="6" t="n">
        <v>46296</v>
      </c>
      <c r="B7" s="2" t="s">
        <v>169</v>
      </c>
      <c r="C7" s="2" t="s">
        <v>143</v>
      </c>
      <c r="D7" s="2" t="s">
        <v>141</v>
      </c>
      <c r="E7" s="2" t="s">
        <v>160</v>
      </c>
      <c r="F7" s="2" t="s">
        <v>161</v>
      </c>
      <c r="G7" s="2" t="n">
        <v>2</v>
      </c>
      <c r="H7" s="7" t="n">
        <v>13590</v>
      </c>
      <c r="I7" s="7" t="n">
        <f aca="false">IF(F7="Venta",G7*H7,0)</f>
        <v>27180</v>
      </c>
      <c r="J7" s="2" t="s">
        <v>162</v>
      </c>
      <c r="K7" s="2" t="s">
        <v>167</v>
      </c>
      <c r="L7" s="2" t="s">
        <v>168</v>
      </c>
      <c r="M7" s="2" t="n">
        <v>10</v>
      </c>
    </row>
    <row r="8" customFormat="false" ht="15" hidden="false" customHeight="false" outlineLevel="0" collapsed="false">
      <c r="A8" s="6" t="n">
        <v>46296</v>
      </c>
      <c r="B8" s="2" t="s">
        <v>170</v>
      </c>
      <c r="C8" s="2" t="s">
        <v>143</v>
      </c>
      <c r="D8" s="2" t="s">
        <v>141</v>
      </c>
      <c r="E8" s="2" t="s">
        <v>160</v>
      </c>
      <c r="F8" s="2" t="s">
        <v>165</v>
      </c>
      <c r="G8" s="2" t="n">
        <v>1</v>
      </c>
      <c r="H8" s="7" t="n">
        <v>15100</v>
      </c>
      <c r="I8" s="7" t="n">
        <f aca="false">IF(F8="Venta",G8*H8,0)</f>
        <v>0</v>
      </c>
      <c r="J8" s="2"/>
      <c r="K8" s="2" t="s">
        <v>167</v>
      </c>
      <c r="L8" s="2" t="s">
        <v>168</v>
      </c>
      <c r="M8" s="2" t="n">
        <v>10</v>
      </c>
    </row>
    <row r="9" customFormat="false" ht="15" hidden="false" customHeight="false" outlineLevel="0" collapsed="false">
      <c r="A9" s="6" t="n">
        <v>46296</v>
      </c>
      <c r="B9" s="2" t="s">
        <v>171</v>
      </c>
      <c r="C9" s="2" t="s">
        <v>131</v>
      </c>
      <c r="D9" s="2" t="s">
        <v>132</v>
      </c>
      <c r="E9" s="2" t="s">
        <v>172</v>
      </c>
      <c r="F9" s="2" t="s">
        <v>165</v>
      </c>
      <c r="G9" s="2" t="n">
        <v>1</v>
      </c>
      <c r="H9" s="7" t="n">
        <v>45810</v>
      </c>
      <c r="I9" s="7" t="n">
        <f aca="false">IF(F9="Venta",G9*H9,0)</f>
        <v>0</v>
      </c>
      <c r="J9" s="2"/>
      <c r="K9" s="2" t="s">
        <v>167</v>
      </c>
      <c r="L9" s="2" t="s">
        <v>168</v>
      </c>
      <c r="M9" s="2" t="n">
        <v>10</v>
      </c>
    </row>
    <row r="10" customFormat="false" ht="15" hidden="false" customHeight="false" outlineLevel="0" collapsed="false">
      <c r="A10" s="6" t="n">
        <v>46297</v>
      </c>
      <c r="B10" s="2" t="s">
        <v>173</v>
      </c>
      <c r="C10" s="2" t="s">
        <v>128</v>
      </c>
      <c r="D10" s="2" t="s">
        <v>63</v>
      </c>
      <c r="E10" s="2" t="s">
        <v>174</v>
      </c>
      <c r="F10" s="2" t="s">
        <v>165</v>
      </c>
      <c r="G10" s="2" t="n">
        <v>1</v>
      </c>
      <c r="H10" s="7" t="n">
        <v>13910</v>
      </c>
      <c r="I10" s="7" t="n">
        <f aca="false">IF(F10="Venta",G10*H10,0)</f>
        <v>0</v>
      </c>
      <c r="J10" s="2"/>
      <c r="K10" s="2" t="s">
        <v>167</v>
      </c>
      <c r="L10" s="2" t="s">
        <v>168</v>
      </c>
      <c r="M10" s="2" t="n">
        <v>10</v>
      </c>
    </row>
    <row r="11" customFormat="false" ht="15" hidden="false" customHeight="false" outlineLevel="0" collapsed="false">
      <c r="A11" s="6" t="n">
        <v>46297</v>
      </c>
      <c r="B11" s="2" t="s">
        <v>175</v>
      </c>
      <c r="C11" s="2" t="s">
        <v>130</v>
      </c>
      <c r="D11" s="2" t="s">
        <v>63</v>
      </c>
      <c r="E11" s="2" t="s">
        <v>174</v>
      </c>
      <c r="F11" s="2" t="s">
        <v>165</v>
      </c>
      <c r="G11" s="2" t="n">
        <v>1</v>
      </c>
      <c r="H11" s="7" t="n">
        <v>13910</v>
      </c>
      <c r="I11" s="7" t="n">
        <f aca="false">IF(F11="Venta",G11*H11,0)</f>
        <v>0</v>
      </c>
      <c r="J11" s="2"/>
      <c r="K11" s="2" t="s">
        <v>167</v>
      </c>
      <c r="L11" s="2" t="s">
        <v>168</v>
      </c>
      <c r="M11" s="2" t="n">
        <v>10</v>
      </c>
    </row>
    <row r="12" customFormat="false" ht="15" hidden="false" customHeight="false" outlineLevel="0" collapsed="false">
      <c r="A12" s="6" t="n">
        <v>46297</v>
      </c>
      <c r="B12" s="2" t="s">
        <v>176</v>
      </c>
      <c r="C12" s="2" t="s">
        <v>137</v>
      </c>
      <c r="D12" s="2" t="s">
        <v>136</v>
      </c>
      <c r="E12" s="2" t="s">
        <v>160</v>
      </c>
      <c r="F12" s="2" t="s">
        <v>165</v>
      </c>
      <c r="G12" s="2" t="n">
        <v>1</v>
      </c>
      <c r="H12" s="7" t="n">
        <v>13200</v>
      </c>
      <c r="I12" s="7" t="n">
        <f aca="false">IF(F12="Venta",G12*H12,0)</f>
        <v>0</v>
      </c>
      <c r="J12" s="2"/>
      <c r="K12" s="2" t="s">
        <v>167</v>
      </c>
      <c r="L12" s="2" t="s">
        <v>168</v>
      </c>
      <c r="M12" s="2" t="n">
        <v>10</v>
      </c>
    </row>
    <row r="13" customFormat="false" ht="15" hidden="false" customHeight="false" outlineLevel="0" collapsed="false">
      <c r="A13" s="6" t="n">
        <v>46298</v>
      </c>
      <c r="B13" s="2" t="s">
        <v>177</v>
      </c>
      <c r="C13" s="2" t="s">
        <v>131</v>
      </c>
      <c r="D13" s="2" t="s">
        <v>132</v>
      </c>
      <c r="E13" s="2" t="s">
        <v>174</v>
      </c>
      <c r="F13" s="2" t="s">
        <v>161</v>
      </c>
      <c r="G13" s="2" t="n">
        <v>1</v>
      </c>
      <c r="H13" s="7" t="n">
        <v>41229</v>
      </c>
      <c r="I13" s="7" t="n">
        <f aca="false">IF(F13="Venta",G13*H13,0)</f>
        <v>41229</v>
      </c>
      <c r="J13" s="2" t="s">
        <v>162</v>
      </c>
      <c r="K13" s="2" t="s">
        <v>167</v>
      </c>
      <c r="L13" s="2" t="s">
        <v>168</v>
      </c>
      <c r="M13" s="2" t="n">
        <v>10</v>
      </c>
    </row>
    <row r="14" customFormat="false" ht="15" hidden="false" customHeight="false" outlineLevel="0" collapsed="false">
      <c r="A14" s="6" t="n">
        <v>46298</v>
      </c>
      <c r="B14" s="2" t="s">
        <v>178</v>
      </c>
      <c r="C14" s="2" t="s">
        <v>130</v>
      </c>
      <c r="D14" s="2" t="s">
        <v>63</v>
      </c>
      <c r="E14" s="2" t="s">
        <v>160</v>
      </c>
      <c r="F14" s="2" t="s">
        <v>161</v>
      </c>
      <c r="G14" s="2" t="n">
        <v>1</v>
      </c>
      <c r="H14" s="7" t="n">
        <v>13910</v>
      </c>
      <c r="I14" s="7" t="n">
        <f aca="false">IF(F14="Venta",G14*H14,0)</f>
        <v>13910</v>
      </c>
      <c r="J14" s="2" t="s">
        <v>179</v>
      </c>
      <c r="K14" s="2" t="s">
        <v>167</v>
      </c>
      <c r="L14" s="2" t="s">
        <v>168</v>
      </c>
      <c r="M14" s="2" t="n">
        <v>10</v>
      </c>
    </row>
    <row r="15" customFormat="false" ht="15" hidden="false" customHeight="false" outlineLevel="0" collapsed="false">
      <c r="A15" s="6" t="n">
        <v>46299</v>
      </c>
      <c r="B15" s="2" t="s">
        <v>180</v>
      </c>
      <c r="C15" s="2" t="s">
        <v>133</v>
      </c>
      <c r="D15" s="2" t="s">
        <v>132</v>
      </c>
      <c r="E15" s="2" t="s">
        <v>160</v>
      </c>
      <c r="F15" s="2" t="s">
        <v>165</v>
      </c>
      <c r="G15" s="2" t="n">
        <v>1</v>
      </c>
      <c r="H15" s="7" t="n">
        <v>45810</v>
      </c>
      <c r="I15" s="7" t="n">
        <f aca="false">IF(F15="Venta",G15*H15,0)</f>
        <v>0</v>
      </c>
      <c r="J15" s="2"/>
      <c r="K15" s="2" t="s">
        <v>167</v>
      </c>
      <c r="L15" s="2" t="s">
        <v>168</v>
      </c>
      <c r="M15" s="2" t="n">
        <v>10</v>
      </c>
    </row>
    <row r="16" customFormat="false" ht="15" hidden="false" customHeight="false" outlineLevel="0" collapsed="false">
      <c r="A16" s="6" t="n">
        <v>46299</v>
      </c>
      <c r="B16" s="2" t="s">
        <v>181</v>
      </c>
      <c r="C16" s="2" t="s">
        <v>133</v>
      </c>
      <c r="D16" s="2" t="s">
        <v>132</v>
      </c>
      <c r="E16" s="2" t="s">
        <v>160</v>
      </c>
      <c r="F16" s="2" t="s">
        <v>161</v>
      </c>
      <c r="G16" s="2" t="n">
        <v>1</v>
      </c>
      <c r="H16" s="7" t="n">
        <v>41229</v>
      </c>
      <c r="I16" s="7" t="n">
        <f aca="false">IF(F16="Venta",G16*H16,0)</f>
        <v>41229</v>
      </c>
      <c r="J16" s="2" t="s">
        <v>162</v>
      </c>
      <c r="K16" s="2" t="s">
        <v>167</v>
      </c>
      <c r="L16" s="2" t="s">
        <v>168</v>
      </c>
      <c r="M16" s="2" t="n">
        <v>10</v>
      </c>
    </row>
    <row r="17" customFormat="false" ht="15" hidden="false" customHeight="false" outlineLevel="0" collapsed="false">
      <c r="A17" s="6" t="n">
        <v>46299</v>
      </c>
      <c r="B17" s="2" t="s">
        <v>182</v>
      </c>
      <c r="C17" s="2" t="s">
        <v>139</v>
      </c>
      <c r="D17" s="2" t="s">
        <v>57</v>
      </c>
      <c r="E17" s="2" t="s">
        <v>160</v>
      </c>
      <c r="F17" s="2" t="s">
        <v>165</v>
      </c>
      <c r="G17" s="2" t="n">
        <v>1</v>
      </c>
      <c r="H17" s="7" t="n">
        <v>12810</v>
      </c>
      <c r="I17" s="7" t="n">
        <f aca="false">IF(F17="Venta",G17*H17,0)</f>
        <v>0</v>
      </c>
      <c r="J17" s="2"/>
      <c r="K17" s="2" t="s">
        <v>167</v>
      </c>
      <c r="L17" s="2" t="s">
        <v>168</v>
      </c>
      <c r="M17" s="2" t="n">
        <v>10</v>
      </c>
    </row>
    <row r="18" customFormat="false" ht="15" hidden="false" customHeight="false" outlineLevel="0" collapsed="false">
      <c r="A18" s="6" t="n">
        <v>46300</v>
      </c>
      <c r="B18" s="2" t="s">
        <v>183</v>
      </c>
      <c r="C18" s="2" t="s">
        <v>137</v>
      </c>
      <c r="D18" s="2" t="s">
        <v>136</v>
      </c>
      <c r="E18" s="2" t="s">
        <v>184</v>
      </c>
      <c r="F18" s="2" t="s">
        <v>161</v>
      </c>
      <c r="G18" s="2" t="n">
        <v>1</v>
      </c>
      <c r="H18" s="7" t="n">
        <v>13200</v>
      </c>
      <c r="I18" s="7" t="n">
        <f aca="false">IF(F18="Venta",G18*H18,0)</f>
        <v>13200</v>
      </c>
      <c r="J18" s="2" t="s">
        <v>179</v>
      </c>
      <c r="K18" s="2" t="s">
        <v>167</v>
      </c>
      <c r="L18" s="2" t="s">
        <v>168</v>
      </c>
      <c r="M18" s="2" t="n">
        <v>10</v>
      </c>
    </row>
    <row r="19" customFormat="false" ht="15" hidden="false" customHeight="false" outlineLevel="0" collapsed="false">
      <c r="A19" s="6" t="n">
        <v>46300</v>
      </c>
      <c r="B19" s="2" t="s">
        <v>185</v>
      </c>
      <c r="C19" s="2" t="s">
        <v>138</v>
      </c>
      <c r="D19" s="2" t="s">
        <v>136</v>
      </c>
      <c r="E19" s="2" t="s">
        <v>172</v>
      </c>
      <c r="F19" s="2" t="s">
        <v>165</v>
      </c>
      <c r="G19" s="2" t="n">
        <v>1</v>
      </c>
      <c r="H19" s="7" t="n">
        <v>13200</v>
      </c>
      <c r="I19" s="7" t="n">
        <f aca="false">IF(F19="Venta",G19*H19,0)</f>
        <v>0</v>
      </c>
      <c r="J19" s="2"/>
      <c r="K19" s="2" t="s">
        <v>167</v>
      </c>
      <c r="L19" s="2" t="s">
        <v>168</v>
      </c>
      <c r="M19" s="2" t="n">
        <v>10</v>
      </c>
    </row>
    <row r="20" customFormat="false" ht="15" hidden="false" customHeight="false" outlineLevel="0" collapsed="false">
      <c r="A20" s="6" t="n">
        <v>46300</v>
      </c>
      <c r="B20" s="2" t="s">
        <v>186</v>
      </c>
      <c r="C20" s="2" t="s">
        <v>128</v>
      </c>
      <c r="D20" s="2" t="s">
        <v>63</v>
      </c>
      <c r="E20" s="2" t="s">
        <v>160</v>
      </c>
      <c r="F20" s="2" t="s">
        <v>161</v>
      </c>
      <c r="G20" s="2" t="n">
        <v>1</v>
      </c>
      <c r="H20" s="7" t="n">
        <v>12519</v>
      </c>
      <c r="I20" s="7" t="n">
        <f aca="false">IF(F20="Venta",G20*H20,0)</f>
        <v>12519</v>
      </c>
      <c r="J20" s="2" t="s">
        <v>162</v>
      </c>
      <c r="K20" s="2" t="s">
        <v>167</v>
      </c>
      <c r="L20" s="2" t="s">
        <v>168</v>
      </c>
      <c r="M20" s="2" t="n">
        <v>10</v>
      </c>
    </row>
    <row r="21" customFormat="false" ht="15" hidden="false" customHeight="false" outlineLevel="0" collapsed="false">
      <c r="A21" s="6" t="n">
        <v>46302</v>
      </c>
      <c r="B21" s="2" t="s">
        <v>187</v>
      </c>
      <c r="C21" s="2" t="s">
        <v>138</v>
      </c>
      <c r="D21" s="2" t="s">
        <v>136</v>
      </c>
      <c r="E21" s="2" t="s">
        <v>160</v>
      </c>
      <c r="F21" s="2" t="s">
        <v>161</v>
      </c>
      <c r="G21" s="2" t="n">
        <v>1</v>
      </c>
      <c r="H21" s="7" t="n">
        <v>11880</v>
      </c>
      <c r="I21" s="7" t="n">
        <f aca="false">IF(F21="Venta",G21*H21,0)</f>
        <v>11880</v>
      </c>
      <c r="J21" s="2" t="s">
        <v>162</v>
      </c>
      <c r="K21" s="2" t="s">
        <v>167</v>
      </c>
      <c r="L21" s="2" t="s">
        <v>168</v>
      </c>
      <c r="M21" s="2" t="n">
        <v>10</v>
      </c>
    </row>
    <row r="22" customFormat="false" ht="15" hidden="false" customHeight="false" outlineLevel="0" collapsed="false">
      <c r="A22" s="6" t="n">
        <v>46302</v>
      </c>
      <c r="B22" s="2" t="s">
        <v>188</v>
      </c>
      <c r="C22" s="2" t="s">
        <v>149</v>
      </c>
      <c r="D22" s="2" t="s">
        <v>145</v>
      </c>
      <c r="E22" s="2" t="s">
        <v>160</v>
      </c>
      <c r="F22" s="2" t="s">
        <v>165</v>
      </c>
      <c r="G22" s="2" t="n">
        <v>1</v>
      </c>
      <c r="H22" s="7" t="n">
        <v>27000</v>
      </c>
      <c r="I22" s="7" t="n">
        <f aca="false">IF(F22="Venta",G22*H22,0)</f>
        <v>0</v>
      </c>
      <c r="J22" s="2"/>
      <c r="K22" s="2" t="s">
        <v>167</v>
      </c>
      <c r="L22" s="2" t="s">
        <v>168</v>
      </c>
      <c r="M22" s="2" t="n">
        <v>10</v>
      </c>
    </row>
    <row r="23" customFormat="false" ht="15" hidden="false" customHeight="false" outlineLevel="0" collapsed="false">
      <c r="A23" s="6" t="n">
        <v>46302</v>
      </c>
      <c r="B23" s="2" t="s">
        <v>189</v>
      </c>
      <c r="C23" s="2" t="s">
        <v>131</v>
      </c>
      <c r="D23" s="2" t="s">
        <v>132</v>
      </c>
      <c r="E23" s="2" t="s">
        <v>160</v>
      </c>
      <c r="F23" s="2" t="s">
        <v>165</v>
      </c>
      <c r="G23" s="2" t="n">
        <v>1</v>
      </c>
      <c r="H23" s="7" t="n">
        <v>45810</v>
      </c>
      <c r="I23" s="7" t="n">
        <f aca="false">IF(F23="Venta",G23*H23,0)</f>
        <v>0</v>
      </c>
      <c r="J23" s="2"/>
      <c r="K23" s="2" t="s">
        <v>167</v>
      </c>
      <c r="L23" s="2" t="s">
        <v>168</v>
      </c>
      <c r="M23" s="2" t="n">
        <v>10</v>
      </c>
    </row>
    <row r="24" customFormat="false" ht="15" hidden="false" customHeight="false" outlineLevel="0" collapsed="false">
      <c r="A24" s="6" t="n">
        <v>46303</v>
      </c>
      <c r="B24" s="2" t="s">
        <v>190</v>
      </c>
      <c r="C24" s="2" t="s">
        <v>147</v>
      </c>
      <c r="D24" s="2" t="s">
        <v>145</v>
      </c>
      <c r="E24" s="2" t="s">
        <v>160</v>
      </c>
      <c r="F24" s="2" t="s">
        <v>165</v>
      </c>
      <c r="G24" s="2" t="n">
        <v>1</v>
      </c>
      <c r="H24" s="7" t="n">
        <v>19900</v>
      </c>
      <c r="I24" s="7" t="n">
        <f aca="false">IF(F24="Venta",G24*H24,0)</f>
        <v>0</v>
      </c>
      <c r="J24" s="2"/>
      <c r="K24" s="2" t="s">
        <v>167</v>
      </c>
      <c r="L24" s="2" t="s">
        <v>168</v>
      </c>
      <c r="M24" s="2" t="n">
        <v>10</v>
      </c>
    </row>
    <row r="25" customFormat="false" ht="15" hidden="false" customHeight="false" outlineLevel="0" collapsed="false">
      <c r="A25" s="6" t="n">
        <v>46303</v>
      </c>
      <c r="B25" s="2" t="s">
        <v>191</v>
      </c>
      <c r="C25" s="2" t="s">
        <v>137</v>
      </c>
      <c r="D25" s="2" t="s">
        <v>136</v>
      </c>
      <c r="E25" s="2" t="s">
        <v>160</v>
      </c>
      <c r="F25" s="2" t="s">
        <v>165</v>
      </c>
      <c r="G25" s="2" t="n">
        <v>1</v>
      </c>
      <c r="H25" s="7" t="n">
        <v>13200</v>
      </c>
      <c r="I25" s="7" t="n">
        <f aca="false">IF(F25="Venta",G25*H25,0)</f>
        <v>0</v>
      </c>
      <c r="J25" s="2"/>
      <c r="K25" s="2" t="s">
        <v>167</v>
      </c>
      <c r="L25" s="2" t="s">
        <v>168</v>
      </c>
      <c r="M25" s="2" t="n">
        <v>10</v>
      </c>
    </row>
    <row r="26" customFormat="false" ht="15" hidden="false" customHeight="false" outlineLevel="0" collapsed="false">
      <c r="A26" s="6" t="n">
        <v>46305</v>
      </c>
      <c r="B26" s="2" t="s">
        <v>192</v>
      </c>
      <c r="C26" s="2" t="s">
        <v>150</v>
      </c>
      <c r="D26" s="2" t="s">
        <v>145</v>
      </c>
      <c r="E26" s="2" t="s">
        <v>172</v>
      </c>
      <c r="F26" s="2" t="s">
        <v>165</v>
      </c>
      <c r="G26" s="2" t="n">
        <v>1</v>
      </c>
      <c r="H26" s="7" t="n">
        <v>24200</v>
      </c>
      <c r="I26" s="7" t="n">
        <f aca="false">IF(F26="Venta",G26*H26,0)</f>
        <v>0</v>
      </c>
      <c r="J26" s="2"/>
      <c r="K26" s="2" t="s">
        <v>167</v>
      </c>
      <c r="L26" s="2" t="s">
        <v>168</v>
      </c>
      <c r="M26" s="2" t="n">
        <v>10</v>
      </c>
    </row>
    <row r="27" customFormat="false" ht="15" hidden="false" customHeight="false" outlineLevel="0" collapsed="false">
      <c r="A27" s="6" t="n">
        <v>46306</v>
      </c>
      <c r="B27" s="2" t="s">
        <v>193</v>
      </c>
      <c r="C27" s="2" t="s">
        <v>144</v>
      </c>
      <c r="D27" s="2" t="s">
        <v>145</v>
      </c>
      <c r="E27" s="2" t="s">
        <v>160</v>
      </c>
      <c r="F27" s="2" t="s">
        <v>165</v>
      </c>
      <c r="G27" s="2" t="n">
        <v>1</v>
      </c>
      <c r="H27" s="7" t="n">
        <v>22000</v>
      </c>
      <c r="I27" s="7" t="n">
        <f aca="false">IF(F27="Venta",G27*H27,0)</f>
        <v>0</v>
      </c>
      <c r="J27" s="2"/>
      <c r="K27" s="2" t="s">
        <v>167</v>
      </c>
      <c r="L27" s="2" t="s">
        <v>168</v>
      </c>
      <c r="M27" s="2" t="n">
        <v>10</v>
      </c>
    </row>
    <row r="28" customFormat="false" ht="15" hidden="false" customHeight="false" outlineLevel="0" collapsed="false">
      <c r="A28" s="6" t="n">
        <v>46307</v>
      </c>
      <c r="B28" s="2" t="s">
        <v>194</v>
      </c>
      <c r="C28" s="2" t="s">
        <v>133</v>
      </c>
      <c r="D28" s="2" t="s">
        <v>132</v>
      </c>
      <c r="E28" s="2" t="s">
        <v>160</v>
      </c>
      <c r="F28" s="2" t="s">
        <v>165</v>
      </c>
      <c r="G28" s="2" t="n">
        <v>1</v>
      </c>
      <c r="H28" s="7" t="n">
        <v>45810</v>
      </c>
      <c r="I28" s="7" t="n">
        <f aca="false">IF(F28="Venta",G28*H28,0)</f>
        <v>0</v>
      </c>
      <c r="J28" s="2"/>
      <c r="K28" s="2" t="s">
        <v>167</v>
      </c>
      <c r="L28" s="2" t="s">
        <v>168</v>
      </c>
      <c r="M28" s="2" t="n">
        <v>10</v>
      </c>
    </row>
    <row r="29" customFormat="false" ht="15" hidden="false" customHeight="false" outlineLevel="0" collapsed="false">
      <c r="A29" s="6" t="n">
        <v>46307</v>
      </c>
      <c r="B29" s="2" t="s">
        <v>195</v>
      </c>
      <c r="C29" s="2" t="s">
        <v>131</v>
      </c>
      <c r="D29" s="2" t="s">
        <v>132</v>
      </c>
      <c r="E29" s="2" t="s">
        <v>174</v>
      </c>
      <c r="F29" s="2" t="s">
        <v>165</v>
      </c>
      <c r="G29" s="2" t="n">
        <v>1</v>
      </c>
      <c r="H29" s="7" t="n">
        <v>45810</v>
      </c>
      <c r="I29" s="7" t="n">
        <f aca="false">IF(F29="Venta",G29*H29,0)</f>
        <v>0</v>
      </c>
      <c r="J29" s="2"/>
      <c r="K29" s="2" t="s">
        <v>167</v>
      </c>
      <c r="L29" s="2" t="s">
        <v>168</v>
      </c>
      <c r="M29" s="2" t="n">
        <v>10</v>
      </c>
    </row>
    <row r="30" customFormat="false" ht="15" hidden="false" customHeight="false" outlineLevel="0" collapsed="false">
      <c r="A30" s="6" t="n">
        <v>46308</v>
      </c>
      <c r="B30" s="2" t="s">
        <v>196</v>
      </c>
      <c r="C30" s="2" t="s">
        <v>147</v>
      </c>
      <c r="D30" s="2" t="s">
        <v>145</v>
      </c>
      <c r="E30" s="2" t="s">
        <v>160</v>
      </c>
      <c r="F30" s="2" t="s">
        <v>165</v>
      </c>
      <c r="G30" s="2" t="n">
        <v>1</v>
      </c>
      <c r="H30" s="7" t="n">
        <v>19900</v>
      </c>
      <c r="I30" s="7" t="n">
        <f aca="false">IF(F30="Venta",G30*H30,0)</f>
        <v>0</v>
      </c>
      <c r="J30" s="2"/>
      <c r="K30" s="2" t="s">
        <v>167</v>
      </c>
      <c r="L30" s="2" t="s">
        <v>168</v>
      </c>
      <c r="M30" s="2" t="n">
        <v>10</v>
      </c>
    </row>
    <row r="31" customFormat="false" ht="15" hidden="false" customHeight="false" outlineLevel="0" collapsed="false">
      <c r="A31" s="6" t="n">
        <v>46308</v>
      </c>
      <c r="B31" s="2" t="s">
        <v>197</v>
      </c>
      <c r="C31" s="2" t="s">
        <v>131</v>
      </c>
      <c r="D31" s="2" t="s">
        <v>132</v>
      </c>
      <c r="E31" s="2" t="s">
        <v>160</v>
      </c>
      <c r="F31" s="2" t="s">
        <v>165</v>
      </c>
      <c r="G31" s="2" t="n">
        <v>1</v>
      </c>
      <c r="H31" s="7" t="n">
        <v>45810</v>
      </c>
      <c r="I31" s="7" t="n">
        <f aca="false">IF(F31="Venta",G31*H31,0)</f>
        <v>0</v>
      </c>
      <c r="J31" s="2"/>
      <c r="K31" s="2" t="s">
        <v>167</v>
      </c>
      <c r="L31" s="2" t="s">
        <v>168</v>
      </c>
      <c r="M31" s="2" t="n">
        <v>10</v>
      </c>
    </row>
    <row r="32" customFormat="false" ht="15" hidden="false" customHeight="false" outlineLevel="0" collapsed="false">
      <c r="A32" s="6" t="n">
        <v>46308</v>
      </c>
      <c r="B32" s="2" t="s">
        <v>198</v>
      </c>
      <c r="C32" s="2" t="s">
        <v>130</v>
      </c>
      <c r="D32" s="2" t="s">
        <v>63</v>
      </c>
      <c r="E32" s="2" t="s">
        <v>160</v>
      </c>
      <c r="F32" s="2" t="s">
        <v>165</v>
      </c>
      <c r="G32" s="2" t="n">
        <v>1</v>
      </c>
      <c r="H32" s="7" t="n">
        <v>13910</v>
      </c>
      <c r="I32" s="7" t="n">
        <f aca="false">IF(F32="Venta",G32*H32,0)</f>
        <v>0</v>
      </c>
      <c r="J32" s="2"/>
      <c r="K32" s="2" t="s">
        <v>167</v>
      </c>
      <c r="L32" s="2" t="s">
        <v>168</v>
      </c>
      <c r="M32" s="2" t="n">
        <v>10</v>
      </c>
    </row>
    <row r="33" customFormat="false" ht="15" hidden="false" customHeight="false" outlineLevel="0" collapsed="false">
      <c r="A33" s="6" t="n">
        <v>46308</v>
      </c>
      <c r="B33" s="2" t="s">
        <v>199</v>
      </c>
      <c r="C33" s="2" t="s">
        <v>147</v>
      </c>
      <c r="D33" s="2" t="s">
        <v>145</v>
      </c>
      <c r="E33" s="2" t="s">
        <v>160</v>
      </c>
      <c r="F33" s="2" t="s">
        <v>161</v>
      </c>
      <c r="G33" s="2" t="n">
        <v>1</v>
      </c>
      <c r="H33" s="7" t="n">
        <v>17910</v>
      </c>
      <c r="I33" s="7" t="n">
        <f aca="false">IF(F33="Venta",G33*H33,0)</f>
        <v>17910</v>
      </c>
      <c r="J33" s="2" t="s">
        <v>162</v>
      </c>
      <c r="K33" s="2" t="s">
        <v>167</v>
      </c>
      <c r="L33" s="2" t="s">
        <v>168</v>
      </c>
      <c r="M33" s="2" t="n">
        <v>10</v>
      </c>
    </row>
    <row r="34" customFormat="false" ht="15" hidden="false" customHeight="false" outlineLevel="0" collapsed="false">
      <c r="A34" s="6" t="n">
        <v>46309</v>
      </c>
      <c r="B34" s="2" t="s">
        <v>200</v>
      </c>
      <c r="C34" s="2" t="s">
        <v>140</v>
      </c>
      <c r="D34" s="2" t="s">
        <v>141</v>
      </c>
      <c r="E34" s="2" t="s">
        <v>160</v>
      </c>
      <c r="F34" s="2" t="s">
        <v>165</v>
      </c>
      <c r="G34" s="2" t="n">
        <v>1</v>
      </c>
      <c r="H34" s="7" t="n">
        <v>18310</v>
      </c>
      <c r="I34" s="7" t="n">
        <f aca="false">IF(F34="Venta",G34*H34,0)</f>
        <v>0</v>
      </c>
      <c r="J34" s="2"/>
      <c r="K34" s="2" t="s">
        <v>167</v>
      </c>
      <c r="L34" s="2" t="s">
        <v>168</v>
      </c>
      <c r="M34" s="2" t="n">
        <v>10</v>
      </c>
    </row>
    <row r="35" customFormat="false" ht="15" hidden="false" customHeight="false" outlineLevel="0" collapsed="false">
      <c r="A35" s="6" t="n">
        <v>46310</v>
      </c>
      <c r="B35" s="2" t="s">
        <v>182</v>
      </c>
      <c r="C35" s="2" t="s">
        <v>143</v>
      </c>
      <c r="D35" s="2" t="s">
        <v>141</v>
      </c>
      <c r="E35" s="2" t="s">
        <v>160</v>
      </c>
      <c r="F35" s="2" t="s">
        <v>165</v>
      </c>
      <c r="G35" s="2" t="n">
        <v>1</v>
      </c>
      <c r="H35" s="7" t="n">
        <v>15100</v>
      </c>
      <c r="I35" s="7" t="n">
        <f aca="false">IF(F35="Venta",G35*H35,0)</f>
        <v>0</v>
      </c>
      <c r="J35" s="2"/>
      <c r="K35" s="2" t="s">
        <v>167</v>
      </c>
      <c r="L35" s="2" t="s">
        <v>168</v>
      </c>
      <c r="M35" s="2" t="n">
        <v>10</v>
      </c>
    </row>
    <row r="36" customFormat="false" ht="15" hidden="false" customHeight="false" outlineLevel="0" collapsed="false">
      <c r="A36" s="6" t="n">
        <v>46311</v>
      </c>
      <c r="B36" s="2" t="s">
        <v>201</v>
      </c>
      <c r="C36" s="2" t="s">
        <v>128</v>
      </c>
      <c r="D36" s="2" t="s">
        <v>63</v>
      </c>
      <c r="E36" s="2" t="s">
        <v>160</v>
      </c>
      <c r="F36" s="2" t="s">
        <v>165</v>
      </c>
      <c r="G36" s="2" t="n">
        <v>1</v>
      </c>
      <c r="H36" s="7" t="n">
        <v>13910</v>
      </c>
      <c r="I36" s="7" t="n">
        <f aca="false">IF(F36="Venta",G36*H36,0)</f>
        <v>0</v>
      </c>
      <c r="J36" s="2"/>
      <c r="K36" s="2" t="s">
        <v>167</v>
      </c>
      <c r="L36" s="2" t="s">
        <v>168</v>
      </c>
      <c r="M36" s="2" t="n">
        <v>10</v>
      </c>
    </row>
    <row r="37" customFormat="false" ht="15" hidden="false" customHeight="false" outlineLevel="0" collapsed="false">
      <c r="A37" s="6" t="n">
        <v>46311</v>
      </c>
      <c r="B37" s="2" t="s">
        <v>202</v>
      </c>
      <c r="C37" s="2" t="s">
        <v>143</v>
      </c>
      <c r="D37" s="2" t="s">
        <v>141</v>
      </c>
      <c r="E37" s="2" t="s">
        <v>160</v>
      </c>
      <c r="F37" s="2" t="s">
        <v>161</v>
      </c>
      <c r="G37" s="2" t="n">
        <v>1</v>
      </c>
      <c r="H37" s="7" t="n">
        <v>13590</v>
      </c>
      <c r="I37" s="7" t="n">
        <f aca="false">IF(F37="Venta",G37*H37,0)</f>
        <v>13590</v>
      </c>
      <c r="J37" s="2" t="s">
        <v>162</v>
      </c>
      <c r="K37" s="2" t="s">
        <v>167</v>
      </c>
      <c r="L37" s="2" t="s">
        <v>168</v>
      </c>
      <c r="M37" s="2" t="n">
        <v>10</v>
      </c>
    </row>
    <row r="38" customFormat="false" ht="15" hidden="false" customHeight="false" outlineLevel="0" collapsed="false">
      <c r="A38" s="6" t="n">
        <v>46311</v>
      </c>
      <c r="B38" s="2" t="s">
        <v>203</v>
      </c>
      <c r="C38" s="2" t="s">
        <v>130</v>
      </c>
      <c r="D38" s="2" t="s">
        <v>63</v>
      </c>
      <c r="E38" s="2" t="s">
        <v>174</v>
      </c>
      <c r="F38" s="2" t="s">
        <v>165</v>
      </c>
      <c r="G38" s="2" t="n">
        <v>1</v>
      </c>
      <c r="H38" s="7" t="n">
        <v>13910</v>
      </c>
      <c r="I38" s="7" t="n">
        <f aca="false">IF(F38="Venta",G38*H38,0)</f>
        <v>0</v>
      </c>
      <c r="J38" s="2"/>
      <c r="K38" s="2" t="s">
        <v>167</v>
      </c>
      <c r="L38" s="2" t="s">
        <v>168</v>
      </c>
      <c r="M38" s="2" t="n">
        <v>10</v>
      </c>
    </row>
    <row r="39" customFormat="false" ht="15" hidden="false" customHeight="false" outlineLevel="0" collapsed="false">
      <c r="A39" s="6" t="n">
        <v>46312</v>
      </c>
      <c r="B39" s="2" t="s">
        <v>204</v>
      </c>
      <c r="C39" s="2" t="s">
        <v>128</v>
      </c>
      <c r="D39" s="2" t="s">
        <v>63</v>
      </c>
      <c r="E39" s="2" t="s">
        <v>160</v>
      </c>
      <c r="F39" s="2" t="s">
        <v>165</v>
      </c>
      <c r="G39" s="2" t="n">
        <v>1</v>
      </c>
      <c r="H39" s="7" t="n">
        <v>13910</v>
      </c>
      <c r="I39" s="7" t="n">
        <f aca="false">IF(F39="Venta",G39*H39,0)</f>
        <v>0</v>
      </c>
      <c r="J39" s="2"/>
      <c r="K39" s="2" t="s">
        <v>167</v>
      </c>
      <c r="L39" s="2" t="s">
        <v>168</v>
      </c>
      <c r="M39" s="2" t="n">
        <v>10</v>
      </c>
    </row>
    <row r="40" customFormat="false" ht="15" hidden="false" customHeight="false" outlineLevel="0" collapsed="false">
      <c r="A40" s="6" t="n">
        <v>46313</v>
      </c>
      <c r="B40" s="2" t="s">
        <v>205</v>
      </c>
      <c r="C40" s="2" t="s">
        <v>128</v>
      </c>
      <c r="D40" s="2" t="s">
        <v>63</v>
      </c>
      <c r="E40" s="2" t="s">
        <v>160</v>
      </c>
      <c r="F40" s="2" t="s">
        <v>165</v>
      </c>
      <c r="G40" s="2" t="n">
        <v>1</v>
      </c>
      <c r="H40" s="7" t="n">
        <v>13910</v>
      </c>
      <c r="I40" s="7" t="n">
        <f aca="false">IF(F40="Venta",G40*H40,0)</f>
        <v>0</v>
      </c>
      <c r="J40" s="2"/>
      <c r="K40" s="2" t="s">
        <v>167</v>
      </c>
      <c r="L40" s="2" t="s">
        <v>168</v>
      </c>
      <c r="M40" s="2" t="n">
        <v>10</v>
      </c>
    </row>
    <row r="41" customFormat="false" ht="15" hidden="false" customHeight="false" outlineLevel="0" collapsed="false">
      <c r="A41" s="6" t="n">
        <v>46313</v>
      </c>
      <c r="B41" s="2" t="s">
        <v>206</v>
      </c>
      <c r="C41" s="2" t="s">
        <v>148</v>
      </c>
      <c r="D41" s="2" t="s">
        <v>145</v>
      </c>
      <c r="E41" s="2" t="s">
        <v>160</v>
      </c>
      <c r="F41" s="2" t="s">
        <v>165</v>
      </c>
      <c r="G41" s="2" t="n">
        <v>1</v>
      </c>
      <c r="H41" s="7" t="n">
        <v>28000</v>
      </c>
      <c r="I41" s="7" t="n">
        <f aca="false">IF(F41="Venta",G41*H41,0)</f>
        <v>0</v>
      </c>
      <c r="J41" s="2"/>
      <c r="K41" s="2" t="s">
        <v>167</v>
      </c>
      <c r="L41" s="2" t="s">
        <v>168</v>
      </c>
      <c r="M41" s="2" t="n">
        <v>10</v>
      </c>
    </row>
    <row r="42" customFormat="false" ht="15" hidden="false" customHeight="false" outlineLevel="0" collapsed="false">
      <c r="A42" s="6" t="n">
        <v>46313</v>
      </c>
      <c r="B42" s="2" t="s">
        <v>207</v>
      </c>
      <c r="C42" s="2" t="s">
        <v>130</v>
      </c>
      <c r="D42" s="2" t="s">
        <v>63</v>
      </c>
      <c r="E42" s="2" t="s">
        <v>160</v>
      </c>
      <c r="F42" s="2" t="s">
        <v>161</v>
      </c>
      <c r="G42" s="2" t="n">
        <v>1</v>
      </c>
      <c r="H42" s="7" t="n">
        <v>12519</v>
      </c>
      <c r="I42" s="7" t="n">
        <f aca="false">IF(F42="Venta",G42*H42,0)</f>
        <v>12519</v>
      </c>
      <c r="J42" s="2" t="s">
        <v>162</v>
      </c>
      <c r="K42" s="2" t="s">
        <v>167</v>
      </c>
      <c r="L42" s="2" t="s">
        <v>168</v>
      </c>
      <c r="M42" s="2" t="n">
        <v>10</v>
      </c>
    </row>
    <row r="43" customFormat="false" ht="15" hidden="false" customHeight="false" outlineLevel="0" collapsed="false">
      <c r="A43" s="6" t="n">
        <v>46313</v>
      </c>
      <c r="B43" s="2" t="s">
        <v>208</v>
      </c>
      <c r="C43" s="2" t="s">
        <v>133</v>
      </c>
      <c r="D43" s="2" t="s">
        <v>132</v>
      </c>
      <c r="E43" s="2" t="s">
        <v>160</v>
      </c>
      <c r="F43" s="2" t="s">
        <v>165</v>
      </c>
      <c r="G43" s="2" t="n">
        <v>1</v>
      </c>
      <c r="H43" s="7" t="n">
        <v>45810</v>
      </c>
      <c r="I43" s="7" t="n">
        <f aca="false">IF(F43="Venta",G43*H43,0)</f>
        <v>0</v>
      </c>
      <c r="J43" s="2"/>
      <c r="K43" s="2" t="s">
        <v>167</v>
      </c>
      <c r="L43" s="2" t="s">
        <v>168</v>
      </c>
      <c r="M43" s="2" t="n">
        <v>10</v>
      </c>
    </row>
    <row r="44" customFormat="false" ht="15" hidden="false" customHeight="false" outlineLevel="0" collapsed="false">
      <c r="A44" s="6" t="n">
        <v>46313</v>
      </c>
      <c r="B44" s="2" t="s">
        <v>181</v>
      </c>
      <c r="C44" s="2" t="s">
        <v>130</v>
      </c>
      <c r="D44" s="2" t="s">
        <v>63</v>
      </c>
      <c r="E44" s="2" t="s">
        <v>172</v>
      </c>
      <c r="F44" s="2" t="s">
        <v>165</v>
      </c>
      <c r="G44" s="2" t="n">
        <v>1</v>
      </c>
      <c r="H44" s="7" t="n">
        <v>13910</v>
      </c>
      <c r="I44" s="7" t="n">
        <f aca="false">IF(F44="Venta",G44*H44,0)</f>
        <v>0</v>
      </c>
      <c r="J44" s="2"/>
      <c r="K44" s="2" t="s">
        <v>167</v>
      </c>
      <c r="L44" s="2" t="s">
        <v>168</v>
      </c>
      <c r="M44" s="2" t="n">
        <v>10</v>
      </c>
    </row>
    <row r="45" customFormat="false" ht="15" hidden="false" customHeight="false" outlineLevel="0" collapsed="false">
      <c r="A45" s="6" t="n">
        <v>46313</v>
      </c>
      <c r="B45" s="2" t="s">
        <v>209</v>
      </c>
      <c r="C45" s="2" t="s">
        <v>135</v>
      </c>
      <c r="D45" s="2" t="s">
        <v>136</v>
      </c>
      <c r="E45" s="2" t="s">
        <v>160</v>
      </c>
      <c r="F45" s="2" t="s">
        <v>165</v>
      </c>
      <c r="G45" s="2" t="n">
        <v>1</v>
      </c>
      <c r="H45" s="7" t="n">
        <v>15900</v>
      </c>
      <c r="I45" s="7" t="n">
        <f aca="false">IF(F45="Venta",G45*H45,0)</f>
        <v>0</v>
      </c>
      <c r="J45" s="2"/>
      <c r="K45" s="2" t="s">
        <v>167</v>
      </c>
      <c r="L45" s="2" t="s">
        <v>168</v>
      </c>
      <c r="M45" s="2" t="n">
        <v>10</v>
      </c>
    </row>
    <row r="46" customFormat="false" ht="15" hidden="false" customHeight="false" outlineLevel="0" collapsed="false">
      <c r="A46" s="6" t="n">
        <v>46314</v>
      </c>
      <c r="B46" s="2" t="s">
        <v>210</v>
      </c>
      <c r="C46" s="2" t="s">
        <v>137</v>
      </c>
      <c r="D46" s="2" t="s">
        <v>136</v>
      </c>
      <c r="E46" s="2" t="s">
        <v>160</v>
      </c>
      <c r="F46" s="2" t="s">
        <v>165</v>
      </c>
      <c r="G46" s="2" t="n">
        <v>1</v>
      </c>
      <c r="H46" s="7" t="n">
        <v>13200</v>
      </c>
      <c r="I46" s="7" t="n">
        <f aca="false">IF(F46="Venta",G46*H46,0)</f>
        <v>0</v>
      </c>
      <c r="J46" s="2"/>
      <c r="K46" s="2" t="s">
        <v>167</v>
      </c>
      <c r="L46" s="2" t="s">
        <v>168</v>
      </c>
      <c r="M46" s="2" t="n">
        <v>10</v>
      </c>
    </row>
    <row r="47" customFormat="false" ht="15" hidden="false" customHeight="false" outlineLevel="0" collapsed="false">
      <c r="A47" s="6" t="n">
        <v>46315</v>
      </c>
      <c r="B47" s="2" t="s">
        <v>211</v>
      </c>
      <c r="C47" s="2" t="s">
        <v>128</v>
      </c>
      <c r="D47" s="2" t="s">
        <v>63</v>
      </c>
      <c r="E47" s="2" t="s">
        <v>160</v>
      </c>
      <c r="F47" s="2" t="s">
        <v>165</v>
      </c>
      <c r="G47" s="2" t="n">
        <v>1</v>
      </c>
      <c r="H47" s="7" t="n">
        <v>13910</v>
      </c>
      <c r="I47" s="7" t="n">
        <f aca="false">IF(F47="Venta",G47*H47,0)</f>
        <v>0</v>
      </c>
      <c r="J47" s="2"/>
      <c r="K47" s="2" t="s">
        <v>167</v>
      </c>
      <c r="L47" s="2" t="s">
        <v>168</v>
      </c>
      <c r="M47" s="2" t="n">
        <v>10</v>
      </c>
    </row>
    <row r="48" customFormat="false" ht="15" hidden="false" customHeight="false" outlineLevel="0" collapsed="false">
      <c r="A48" s="6" t="n">
        <v>46315</v>
      </c>
      <c r="B48" s="2" t="s">
        <v>212</v>
      </c>
      <c r="C48" s="2" t="s">
        <v>128</v>
      </c>
      <c r="D48" s="2" t="s">
        <v>63</v>
      </c>
      <c r="E48" s="2" t="s">
        <v>160</v>
      </c>
      <c r="F48" s="2" t="s">
        <v>161</v>
      </c>
      <c r="G48" s="2" t="n">
        <v>1</v>
      </c>
      <c r="H48" s="7" t="n">
        <v>13910</v>
      </c>
      <c r="I48" s="7" t="n">
        <f aca="false">IF(F48="Venta",G48*H48,0)</f>
        <v>13910</v>
      </c>
      <c r="J48" s="2" t="s">
        <v>179</v>
      </c>
      <c r="K48" s="2" t="s">
        <v>167</v>
      </c>
      <c r="L48" s="2" t="s">
        <v>168</v>
      </c>
      <c r="M48" s="2" t="n">
        <v>10</v>
      </c>
    </row>
    <row r="49" customFormat="false" ht="15" hidden="false" customHeight="false" outlineLevel="0" collapsed="false">
      <c r="A49" s="6" t="n">
        <v>46315</v>
      </c>
      <c r="B49" s="2" t="s">
        <v>213</v>
      </c>
      <c r="C49" s="2" t="s">
        <v>130</v>
      </c>
      <c r="D49" s="2" t="s">
        <v>63</v>
      </c>
      <c r="E49" s="2" t="s">
        <v>160</v>
      </c>
      <c r="F49" s="2" t="s">
        <v>165</v>
      </c>
      <c r="G49" s="2" t="n">
        <v>1</v>
      </c>
      <c r="H49" s="7" t="n">
        <v>13910</v>
      </c>
      <c r="I49" s="7" t="n">
        <f aca="false">IF(F49="Venta",G49*H49,0)</f>
        <v>0</v>
      </c>
      <c r="J49" s="2"/>
      <c r="K49" s="2" t="s">
        <v>167</v>
      </c>
      <c r="L49" s="2" t="s">
        <v>168</v>
      </c>
      <c r="M49" s="2" t="n">
        <v>10</v>
      </c>
    </row>
    <row r="50" customFormat="false" ht="15" hidden="false" customHeight="false" outlineLevel="0" collapsed="false">
      <c r="A50" s="6" t="n">
        <v>46315</v>
      </c>
      <c r="B50" s="2" t="s">
        <v>214</v>
      </c>
      <c r="C50" s="2" t="s">
        <v>146</v>
      </c>
      <c r="D50" s="2" t="s">
        <v>145</v>
      </c>
      <c r="E50" s="2" t="s">
        <v>172</v>
      </c>
      <c r="F50" s="2" t="s">
        <v>165</v>
      </c>
      <c r="G50" s="2" t="n">
        <v>1</v>
      </c>
      <c r="H50" s="7" t="n">
        <v>28000</v>
      </c>
      <c r="I50" s="7" t="n">
        <f aca="false">IF(F50="Venta",G50*H50,0)</f>
        <v>0</v>
      </c>
      <c r="J50" s="2"/>
      <c r="K50" s="2" t="s">
        <v>167</v>
      </c>
      <c r="L50" s="2" t="s">
        <v>168</v>
      </c>
      <c r="M50" s="2" t="n">
        <v>10</v>
      </c>
    </row>
    <row r="51" customFormat="false" ht="15" hidden="false" customHeight="false" outlineLevel="0" collapsed="false">
      <c r="A51" s="6" t="n">
        <v>46315</v>
      </c>
      <c r="B51" s="2" t="s">
        <v>215</v>
      </c>
      <c r="C51" s="2" t="s">
        <v>128</v>
      </c>
      <c r="D51" s="2" t="s">
        <v>63</v>
      </c>
      <c r="E51" s="2" t="s">
        <v>160</v>
      </c>
      <c r="F51" s="2" t="s">
        <v>165</v>
      </c>
      <c r="G51" s="2" t="n">
        <v>1</v>
      </c>
      <c r="H51" s="7" t="n">
        <v>13910</v>
      </c>
      <c r="I51" s="7" t="n">
        <f aca="false">IF(F51="Venta",G51*H51,0)</f>
        <v>0</v>
      </c>
      <c r="J51" s="2"/>
      <c r="K51" s="2" t="s">
        <v>167</v>
      </c>
      <c r="L51" s="2" t="s">
        <v>168</v>
      </c>
      <c r="M51" s="2" t="n">
        <v>10</v>
      </c>
    </row>
    <row r="52" customFormat="false" ht="15" hidden="false" customHeight="false" outlineLevel="0" collapsed="false">
      <c r="A52" s="6" t="n">
        <v>46315</v>
      </c>
      <c r="B52" s="2" t="s">
        <v>216</v>
      </c>
      <c r="C52" s="2" t="s">
        <v>128</v>
      </c>
      <c r="D52" s="2" t="s">
        <v>63</v>
      </c>
      <c r="E52" s="2" t="s">
        <v>160</v>
      </c>
      <c r="F52" s="2" t="s">
        <v>161</v>
      </c>
      <c r="G52" s="2" t="n">
        <v>1</v>
      </c>
      <c r="H52" s="7" t="n">
        <v>12519</v>
      </c>
      <c r="I52" s="7" t="n">
        <f aca="false">IF(F52="Venta",G52*H52,0)</f>
        <v>12519</v>
      </c>
      <c r="J52" s="2" t="s">
        <v>162</v>
      </c>
      <c r="K52" s="2" t="s">
        <v>167</v>
      </c>
      <c r="L52" s="2" t="s">
        <v>168</v>
      </c>
      <c r="M52" s="2" t="n">
        <v>10</v>
      </c>
    </row>
    <row r="53" customFormat="false" ht="15" hidden="false" customHeight="false" outlineLevel="0" collapsed="false">
      <c r="A53" s="6" t="n">
        <v>46315</v>
      </c>
      <c r="B53" s="2" t="s">
        <v>217</v>
      </c>
      <c r="C53" s="2" t="s">
        <v>128</v>
      </c>
      <c r="D53" s="2" t="s">
        <v>63</v>
      </c>
      <c r="E53" s="2" t="s">
        <v>174</v>
      </c>
      <c r="F53" s="2" t="s">
        <v>161</v>
      </c>
      <c r="G53" s="2" t="n">
        <v>2</v>
      </c>
      <c r="H53" s="7" t="n">
        <v>12519</v>
      </c>
      <c r="I53" s="7" t="n">
        <f aca="false">IF(F53="Venta",G53*H53,0)</f>
        <v>25038</v>
      </c>
      <c r="J53" s="2" t="s">
        <v>162</v>
      </c>
      <c r="K53" s="2" t="s">
        <v>167</v>
      </c>
      <c r="L53" s="2" t="s">
        <v>168</v>
      </c>
      <c r="M53" s="2" t="n">
        <v>10</v>
      </c>
    </row>
    <row r="54" customFormat="false" ht="15" hidden="false" customHeight="false" outlineLevel="0" collapsed="false">
      <c r="A54" s="6" t="n">
        <v>46316</v>
      </c>
      <c r="B54" s="2" t="s">
        <v>218</v>
      </c>
      <c r="C54" s="2" t="s">
        <v>134</v>
      </c>
      <c r="D54" s="2" t="s">
        <v>132</v>
      </c>
      <c r="E54" s="2" t="s">
        <v>184</v>
      </c>
      <c r="F54" s="2" t="s">
        <v>161</v>
      </c>
      <c r="G54" s="2" t="n">
        <v>1</v>
      </c>
      <c r="H54" s="7" t="n">
        <v>11529</v>
      </c>
      <c r="I54" s="7" t="n">
        <f aca="false">IF(F54="Venta",G54*H54,0)</f>
        <v>11529</v>
      </c>
      <c r="J54" s="2" t="s">
        <v>162</v>
      </c>
      <c r="K54" s="2" t="s">
        <v>167</v>
      </c>
      <c r="L54" s="2" t="s">
        <v>168</v>
      </c>
      <c r="M54" s="2" t="n">
        <v>10</v>
      </c>
    </row>
    <row r="55" customFormat="false" ht="15" hidden="false" customHeight="false" outlineLevel="0" collapsed="false">
      <c r="A55" s="6" t="n">
        <v>46316</v>
      </c>
      <c r="B55" s="2" t="s">
        <v>219</v>
      </c>
      <c r="C55" s="2" t="s">
        <v>134</v>
      </c>
      <c r="D55" s="2" t="s">
        <v>132</v>
      </c>
      <c r="E55" s="2" t="s">
        <v>160</v>
      </c>
      <c r="F55" s="2" t="s">
        <v>165</v>
      </c>
      <c r="G55" s="2" t="n">
        <v>1</v>
      </c>
      <c r="H55" s="7" t="n">
        <v>12810</v>
      </c>
      <c r="I55" s="7" t="n">
        <f aca="false">IF(F55="Venta",G55*H55,0)</f>
        <v>0</v>
      </c>
      <c r="J55" s="2"/>
      <c r="K55" s="2" t="s">
        <v>167</v>
      </c>
      <c r="L55" s="2" t="s">
        <v>168</v>
      </c>
      <c r="M55" s="2" t="n">
        <v>10</v>
      </c>
    </row>
    <row r="56" customFormat="false" ht="15" hidden="false" customHeight="false" outlineLevel="0" collapsed="false">
      <c r="A56" s="6" t="n">
        <v>46317</v>
      </c>
      <c r="B56" s="2" t="s">
        <v>220</v>
      </c>
      <c r="C56" s="2" t="s">
        <v>134</v>
      </c>
      <c r="D56" s="2" t="s">
        <v>132</v>
      </c>
      <c r="E56" s="2" t="s">
        <v>160</v>
      </c>
      <c r="F56" s="2" t="s">
        <v>165</v>
      </c>
      <c r="G56" s="2" t="n">
        <v>1</v>
      </c>
      <c r="H56" s="7" t="n">
        <v>12810</v>
      </c>
      <c r="I56" s="7" t="n">
        <f aca="false">IF(F56="Venta",G56*H56,0)</f>
        <v>0</v>
      </c>
      <c r="J56" s="2"/>
      <c r="K56" s="2" t="s">
        <v>167</v>
      </c>
      <c r="L56" s="2" t="s">
        <v>168</v>
      </c>
      <c r="M56" s="2" t="n">
        <v>10</v>
      </c>
    </row>
    <row r="57" customFormat="false" ht="15" hidden="false" customHeight="false" outlineLevel="0" collapsed="false">
      <c r="A57" s="6" t="n">
        <v>46317</v>
      </c>
      <c r="B57" s="2" t="s">
        <v>221</v>
      </c>
      <c r="C57" s="2" t="s">
        <v>133</v>
      </c>
      <c r="D57" s="2" t="s">
        <v>132</v>
      </c>
      <c r="E57" s="2" t="s">
        <v>160</v>
      </c>
      <c r="F57" s="2" t="s">
        <v>161</v>
      </c>
      <c r="G57" s="2" t="n">
        <v>1</v>
      </c>
      <c r="H57" s="7" t="n">
        <v>41229</v>
      </c>
      <c r="I57" s="7" t="n">
        <f aca="false">IF(F57="Venta",G57*H57,0)</f>
        <v>41229</v>
      </c>
      <c r="J57" s="2" t="s">
        <v>162</v>
      </c>
      <c r="K57" s="2" t="s">
        <v>167</v>
      </c>
      <c r="L57" s="2" t="s">
        <v>168</v>
      </c>
      <c r="M57" s="2" t="n">
        <v>10</v>
      </c>
    </row>
    <row r="58" customFormat="false" ht="15" hidden="false" customHeight="false" outlineLevel="0" collapsed="false">
      <c r="A58" s="6" t="n">
        <v>46317</v>
      </c>
      <c r="B58" s="2" t="s">
        <v>222</v>
      </c>
      <c r="C58" s="2" t="s">
        <v>133</v>
      </c>
      <c r="D58" s="2" t="s">
        <v>132</v>
      </c>
      <c r="E58" s="2" t="s">
        <v>160</v>
      </c>
      <c r="F58" s="2" t="s">
        <v>165</v>
      </c>
      <c r="G58" s="2" t="n">
        <v>1</v>
      </c>
      <c r="H58" s="7" t="n">
        <v>45810</v>
      </c>
      <c r="I58" s="7" t="n">
        <f aca="false">IF(F58="Venta",G58*H58,0)</f>
        <v>0</v>
      </c>
      <c r="J58" s="2"/>
      <c r="K58" s="2" t="s">
        <v>167</v>
      </c>
      <c r="L58" s="2" t="s">
        <v>168</v>
      </c>
      <c r="M58" s="2" t="n">
        <v>10</v>
      </c>
    </row>
    <row r="59" customFormat="false" ht="15" hidden="false" customHeight="false" outlineLevel="0" collapsed="false">
      <c r="A59" s="6" t="n">
        <v>46318</v>
      </c>
      <c r="B59" s="2" t="s">
        <v>223</v>
      </c>
      <c r="C59" s="2" t="s">
        <v>130</v>
      </c>
      <c r="D59" s="2" t="s">
        <v>63</v>
      </c>
      <c r="E59" s="2" t="s">
        <v>160</v>
      </c>
      <c r="F59" s="2" t="s">
        <v>161</v>
      </c>
      <c r="G59" s="2" t="n">
        <v>1</v>
      </c>
      <c r="H59" s="7" t="n">
        <v>12519</v>
      </c>
      <c r="I59" s="7" t="n">
        <f aca="false">IF(F59="Venta",G59*H59,0)</f>
        <v>12519</v>
      </c>
      <c r="J59" s="2" t="s">
        <v>162</v>
      </c>
      <c r="K59" s="2" t="s">
        <v>167</v>
      </c>
      <c r="L59" s="2" t="s">
        <v>168</v>
      </c>
      <c r="M59" s="2" t="n">
        <v>10</v>
      </c>
    </row>
    <row r="60" customFormat="false" ht="15" hidden="false" customHeight="false" outlineLevel="0" collapsed="false">
      <c r="A60" s="6" t="n">
        <v>46318</v>
      </c>
      <c r="B60" s="2" t="s">
        <v>224</v>
      </c>
      <c r="C60" s="2" t="s">
        <v>138</v>
      </c>
      <c r="D60" s="2" t="s">
        <v>136</v>
      </c>
      <c r="E60" s="2" t="s">
        <v>160</v>
      </c>
      <c r="F60" s="2" t="s">
        <v>165</v>
      </c>
      <c r="G60" s="2" t="n">
        <v>1</v>
      </c>
      <c r="H60" s="7" t="n">
        <v>13200</v>
      </c>
      <c r="I60" s="7" t="n">
        <f aca="false">IF(F60="Venta",G60*H60,0)</f>
        <v>0</v>
      </c>
      <c r="J60" s="2"/>
      <c r="K60" s="2" t="s">
        <v>167</v>
      </c>
      <c r="L60" s="2" t="s">
        <v>168</v>
      </c>
      <c r="M60" s="2" t="n">
        <v>10</v>
      </c>
    </row>
    <row r="61" customFormat="false" ht="15" hidden="false" customHeight="false" outlineLevel="0" collapsed="false">
      <c r="A61" s="6" t="n">
        <v>46320</v>
      </c>
      <c r="B61" s="2" t="s">
        <v>225</v>
      </c>
      <c r="C61" s="2" t="s">
        <v>137</v>
      </c>
      <c r="D61" s="2" t="s">
        <v>136</v>
      </c>
      <c r="E61" s="2" t="s">
        <v>160</v>
      </c>
      <c r="F61" s="2" t="s">
        <v>165</v>
      </c>
      <c r="G61" s="2" t="n">
        <v>1</v>
      </c>
      <c r="H61" s="7" t="n">
        <v>13200</v>
      </c>
      <c r="I61" s="7" t="n">
        <f aca="false">IF(F61="Venta",G61*H61,0)</f>
        <v>0</v>
      </c>
      <c r="J61" s="2"/>
      <c r="K61" s="2" t="s">
        <v>167</v>
      </c>
      <c r="L61" s="2" t="s">
        <v>168</v>
      </c>
      <c r="M61" s="2" t="n">
        <v>10</v>
      </c>
    </row>
    <row r="62" customFormat="false" ht="15" hidden="false" customHeight="false" outlineLevel="0" collapsed="false">
      <c r="A62" s="6" t="n">
        <v>46320</v>
      </c>
      <c r="B62" s="2" t="s">
        <v>226</v>
      </c>
      <c r="C62" s="2" t="s">
        <v>148</v>
      </c>
      <c r="D62" s="2" t="s">
        <v>145</v>
      </c>
      <c r="E62" s="2" t="s">
        <v>160</v>
      </c>
      <c r="F62" s="2" t="s">
        <v>165</v>
      </c>
      <c r="G62" s="2" t="n">
        <v>1</v>
      </c>
      <c r="H62" s="7" t="n">
        <v>28000</v>
      </c>
      <c r="I62" s="7" t="n">
        <f aca="false">IF(F62="Venta",G62*H62,0)</f>
        <v>0</v>
      </c>
      <c r="J62" s="2"/>
      <c r="K62" s="2" t="s">
        <v>167</v>
      </c>
      <c r="L62" s="2" t="s">
        <v>168</v>
      </c>
      <c r="M62" s="2" t="n">
        <v>10</v>
      </c>
    </row>
    <row r="63" customFormat="false" ht="15" hidden="false" customHeight="false" outlineLevel="0" collapsed="false">
      <c r="A63" s="6" t="n">
        <v>46321</v>
      </c>
      <c r="B63" s="2" t="s">
        <v>227</v>
      </c>
      <c r="C63" s="2" t="s">
        <v>130</v>
      </c>
      <c r="D63" s="2" t="s">
        <v>63</v>
      </c>
      <c r="E63" s="2" t="s">
        <v>172</v>
      </c>
      <c r="F63" s="2" t="s">
        <v>165</v>
      </c>
      <c r="G63" s="2" t="n">
        <v>1</v>
      </c>
      <c r="H63" s="7" t="n">
        <v>13910</v>
      </c>
      <c r="I63" s="7" t="n">
        <f aca="false">IF(F63="Venta",G63*H63,0)</f>
        <v>0</v>
      </c>
      <c r="J63" s="2"/>
      <c r="K63" s="2" t="s">
        <v>167</v>
      </c>
      <c r="L63" s="2" t="s">
        <v>168</v>
      </c>
      <c r="M63" s="2" t="n">
        <v>10</v>
      </c>
    </row>
    <row r="64" customFormat="false" ht="15" hidden="false" customHeight="false" outlineLevel="0" collapsed="false">
      <c r="A64" s="6" t="n">
        <v>46322</v>
      </c>
      <c r="B64" s="2" t="s">
        <v>228</v>
      </c>
      <c r="C64" s="2" t="s">
        <v>135</v>
      </c>
      <c r="D64" s="2" t="s">
        <v>136</v>
      </c>
      <c r="E64" s="2" t="s">
        <v>160</v>
      </c>
      <c r="F64" s="2" t="s">
        <v>165</v>
      </c>
      <c r="G64" s="2" t="n">
        <v>1</v>
      </c>
      <c r="H64" s="7" t="n">
        <v>15900</v>
      </c>
      <c r="I64" s="7" t="n">
        <f aca="false">IF(F64="Venta",G64*H64,0)</f>
        <v>0</v>
      </c>
      <c r="J64" s="2"/>
      <c r="K64" s="2" t="s">
        <v>167</v>
      </c>
      <c r="L64" s="2" t="s">
        <v>168</v>
      </c>
      <c r="M64" s="2" t="n">
        <v>10</v>
      </c>
    </row>
    <row r="65" customFormat="false" ht="15" hidden="false" customHeight="false" outlineLevel="0" collapsed="false">
      <c r="A65" s="6" t="n">
        <v>46323</v>
      </c>
      <c r="B65" s="2" t="s">
        <v>169</v>
      </c>
      <c r="C65" s="2" t="s">
        <v>131</v>
      </c>
      <c r="D65" s="2" t="s">
        <v>132</v>
      </c>
      <c r="E65" s="2" t="s">
        <v>160</v>
      </c>
      <c r="F65" s="2" t="s">
        <v>165</v>
      </c>
      <c r="G65" s="2" t="n">
        <v>1</v>
      </c>
      <c r="H65" s="7" t="n">
        <v>45810</v>
      </c>
      <c r="I65" s="7" t="n">
        <f aca="false">IF(F65="Venta",G65*H65,0)</f>
        <v>0</v>
      </c>
      <c r="J65" s="2"/>
      <c r="K65" s="2" t="s">
        <v>167</v>
      </c>
      <c r="L65" s="2" t="s">
        <v>168</v>
      </c>
      <c r="M65" s="2" t="n">
        <v>10</v>
      </c>
    </row>
    <row r="66" customFormat="false" ht="15" hidden="false" customHeight="false" outlineLevel="0" collapsed="false">
      <c r="A66" s="6" t="n">
        <v>46323</v>
      </c>
      <c r="B66" s="2" t="s">
        <v>229</v>
      </c>
      <c r="C66" s="2" t="s">
        <v>137</v>
      </c>
      <c r="D66" s="2" t="s">
        <v>136</v>
      </c>
      <c r="E66" s="2" t="s">
        <v>160</v>
      </c>
      <c r="F66" s="2" t="s">
        <v>165</v>
      </c>
      <c r="G66" s="2" t="n">
        <v>1</v>
      </c>
      <c r="H66" s="7" t="n">
        <v>13200</v>
      </c>
      <c r="I66" s="7" t="n">
        <f aca="false">IF(F66="Venta",G66*H66,0)</f>
        <v>0</v>
      </c>
      <c r="J66" s="2"/>
      <c r="K66" s="2" t="s">
        <v>167</v>
      </c>
      <c r="L66" s="2" t="s">
        <v>168</v>
      </c>
      <c r="M66" s="2" t="n">
        <v>10</v>
      </c>
    </row>
    <row r="67" customFormat="false" ht="15" hidden="false" customHeight="false" outlineLevel="0" collapsed="false">
      <c r="A67" s="6" t="n">
        <v>46323</v>
      </c>
      <c r="B67" s="2" t="s">
        <v>230</v>
      </c>
      <c r="C67" s="2" t="s">
        <v>130</v>
      </c>
      <c r="D67" s="2" t="s">
        <v>63</v>
      </c>
      <c r="E67" s="2" t="s">
        <v>174</v>
      </c>
      <c r="F67" s="2" t="s">
        <v>165</v>
      </c>
      <c r="G67" s="2" t="n">
        <v>1</v>
      </c>
      <c r="H67" s="7" t="n">
        <v>13910</v>
      </c>
      <c r="I67" s="7" t="n">
        <f aca="false">IF(F67="Venta",G67*H67,0)</f>
        <v>0</v>
      </c>
      <c r="J67" s="2"/>
      <c r="K67" s="2" t="s">
        <v>167</v>
      </c>
      <c r="L67" s="2" t="s">
        <v>168</v>
      </c>
      <c r="M67" s="2" t="n">
        <v>10</v>
      </c>
    </row>
    <row r="68" customFormat="false" ht="15" hidden="false" customHeight="false" outlineLevel="0" collapsed="false">
      <c r="A68" s="6" t="n">
        <v>46323</v>
      </c>
      <c r="B68" s="2" t="s">
        <v>231</v>
      </c>
      <c r="C68" s="2" t="s">
        <v>144</v>
      </c>
      <c r="D68" s="2" t="s">
        <v>145</v>
      </c>
      <c r="E68" s="2" t="s">
        <v>160</v>
      </c>
      <c r="F68" s="2" t="s">
        <v>165</v>
      </c>
      <c r="G68" s="2" t="n">
        <v>1</v>
      </c>
      <c r="H68" s="7" t="n">
        <v>22000</v>
      </c>
      <c r="I68" s="7" t="n">
        <f aca="false">IF(F68="Venta",G68*H68,0)</f>
        <v>0</v>
      </c>
      <c r="J68" s="2"/>
      <c r="K68" s="2" t="s">
        <v>167</v>
      </c>
      <c r="L68" s="2" t="s">
        <v>168</v>
      </c>
      <c r="M68" s="2" t="n">
        <v>10</v>
      </c>
    </row>
    <row r="69" customFormat="false" ht="15" hidden="false" customHeight="false" outlineLevel="0" collapsed="false">
      <c r="A69" s="6" t="n">
        <v>46324</v>
      </c>
      <c r="B69" s="2" t="s">
        <v>232</v>
      </c>
      <c r="C69" s="2" t="s">
        <v>128</v>
      </c>
      <c r="D69" s="2" t="s">
        <v>63</v>
      </c>
      <c r="E69" s="2" t="s">
        <v>160</v>
      </c>
      <c r="F69" s="2" t="s">
        <v>165</v>
      </c>
      <c r="G69" s="2" t="n">
        <v>1</v>
      </c>
      <c r="H69" s="7" t="n">
        <v>13910</v>
      </c>
      <c r="I69" s="7" t="n">
        <f aca="false">IF(F69="Venta",G69*H69,0)</f>
        <v>0</v>
      </c>
      <c r="J69" s="2"/>
      <c r="K69" s="2" t="s">
        <v>167</v>
      </c>
      <c r="L69" s="2" t="s">
        <v>168</v>
      </c>
      <c r="M69" s="2" t="n">
        <v>10</v>
      </c>
    </row>
    <row r="70" customFormat="false" ht="15" hidden="false" customHeight="false" outlineLevel="0" collapsed="false">
      <c r="A70" s="6" t="n">
        <v>46324</v>
      </c>
      <c r="B70" s="2" t="s">
        <v>233</v>
      </c>
      <c r="C70" s="2" t="s">
        <v>140</v>
      </c>
      <c r="D70" s="2" t="s">
        <v>141</v>
      </c>
      <c r="E70" s="2" t="s">
        <v>160</v>
      </c>
      <c r="F70" s="2" t="s">
        <v>165</v>
      </c>
      <c r="G70" s="2" t="n">
        <v>1</v>
      </c>
      <c r="H70" s="7" t="n">
        <v>18310</v>
      </c>
      <c r="I70" s="7" t="n">
        <f aca="false">IF(F70="Venta",G70*H70,0)</f>
        <v>0</v>
      </c>
      <c r="J70" s="2"/>
      <c r="K70" s="2" t="s">
        <v>167</v>
      </c>
      <c r="L70" s="2" t="s">
        <v>168</v>
      </c>
      <c r="M70" s="2" t="n">
        <v>10</v>
      </c>
    </row>
    <row r="71" customFormat="false" ht="15" hidden="false" customHeight="false" outlineLevel="0" collapsed="false">
      <c r="A71" s="6" t="n">
        <v>46325</v>
      </c>
      <c r="B71" s="2" t="s">
        <v>234</v>
      </c>
      <c r="C71" s="2" t="s">
        <v>139</v>
      </c>
      <c r="D71" s="2" t="s">
        <v>57</v>
      </c>
      <c r="E71" s="2" t="s">
        <v>174</v>
      </c>
      <c r="F71" s="2" t="s">
        <v>165</v>
      </c>
      <c r="G71" s="2" t="n">
        <v>1</v>
      </c>
      <c r="H71" s="7" t="n">
        <v>12810</v>
      </c>
      <c r="I71" s="7" t="n">
        <f aca="false">IF(F71="Venta",G71*H71,0)</f>
        <v>0</v>
      </c>
      <c r="J71" s="2"/>
      <c r="K71" s="2" t="s">
        <v>167</v>
      </c>
      <c r="L71" s="2" t="s">
        <v>168</v>
      </c>
      <c r="M71" s="2" t="n">
        <v>10</v>
      </c>
    </row>
    <row r="72" customFormat="false" ht="15" hidden="false" customHeight="false" outlineLevel="0" collapsed="false">
      <c r="A72" s="6" t="n">
        <v>46325</v>
      </c>
      <c r="B72" s="2" t="s">
        <v>235</v>
      </c>
      <c r="C72" s="2" t="s">
        <v>130</v>
      </c>
      <c r="D72" s="2" t="s">
        <v>63</v>
      </c>
      <c r="E72" s="2" t="s">
        <v>160</v>
      </c>
      <c r="F72" s="2" t="s">
        <v>165</v>
      </c>
      <c r="G72" s="2" t="n">
        <v>1</v>
      </c>
      <c r="H72" s="7" t="n">
        <v>13910</v>
      </c>
      <c r="I72" s="7" t="n">
        <f aca="false">IF(F72="Venta",G72*H72,0)</f>
        <v>0</v>
      </c>
      <c r="J72" s="2"/>
      <c r="K72" s="2" t="s">
        <v>167</v>
      </c>
      <c r="L72" s="2" t="s">
        <v>168</v>
      </c>
      <c r="M72" s="2" t="n">
        <v>10</v>
      </c>
    </row>
    <row r="73" customFormat="false" ht="15" hidden="false" customHeight="false" outlineLevel="0" collapsed="false">
      <c r="A73" s="6" t="n">
        <v>46325</v>
      </c>
      <c r="B73" s="2" t="s">
        <v>236</v>
      </c>
      <c r="C73" s="2" t="s">
        <v>148</v>
      </c>
      <c r="D73" s="2" t="s">
        <v>145</v>
      </c>
      <c r="E73" s="2" t="s">
        <v>160</v>
      </c>
      <c r="F73" s="2" t="s">
        <v>165</v>
      </c>
      <c r="G73" s="2" t="n">
        <v>1</v>
      </c>
      <c r="H73" s="7" t="n">
        <v>28000</v>
      </c>
      <c r="I73" s="7" t="n">
        <f aca="false">IF(F73="Venta",G73*H73,0)</f>
        <v>0</v>
      </c>
      <c r="J73" s="2"/>
      <c r="K73" s="2" t="s">
        <v>167</v>
      </c>
      <c r="L73" s="2" t="s">
        <v>168</v>
      </c>
      <c r="M73" s="2" t="n">
        <v>10</v>
      </c>
    </row>
    <row r="74" customFormat="false" ht="15" hidden="false" customHeight="false" outlineLevel="0" collapsed="false">
      <c r="A74" s="6" t="n">
        <v>46326</v>
      </c>
      <c r="B74" s="2" t="s">
        <v>237</v>
      </c>
      <c r="C74" s="2" t="s">
        <v>140</v>
      </c>
      <c r="D74" s="2" t="s">
        <v>141</v>
      </c>
      <c r="E74" s="2" t="s">
        <v>184</v>
      </c>
      <c r="F74" s="2" t="s">
        <v>161</v>
      </c>
      <c r="G74" s="2" t="n">
        <v>1</v>
      </c>
      <c r="H74" s="7" t="n">
        <v>18310</v>
      </c>
      <c r="I74" s="7" t="n">
        <f aca="false">IF(F74="Venta",G74*H74,0)</f>
        <v>18310</v>
      </c>
      <c r="J74" s="2" t="s">
        <v>179</v>
      </c>
      <c r="K74" s="2" t="s">
        <v>167</v>
      </c>
      <c r="L74" s="2" t="s">
        <v>168</v>
      </c>
      <c r="M74" s="2" t="n">
        <v>10</v>
      </c>
    </row>
    <row r="75" customFormat="false" ht="15" hidden="false" customHeight="false" outlineLevel="0" collapsed="false">
      <c r="A75" s="6" t="n">
        <v>46326</v>
      </c>
      <c r="B75" s="2" t="s">
        <v>238</v>
      </c>
      <c r="C75" s="2" t="s">
        <v>134</v>
      </c>
      <c r="D75" s="2" t="s">
        <v>132</v>
      </c>
      <c r="E75" s="2" t="s">
        <v>160</v>
      </c>
      <c r="F75" s="2" t="s">
        <v>165</v>
      </c>
      <c r="G75" s="2" t="n">
        <v>1</v>
      </c>
      <c r="H75" s="7" t="n">
        <v>12810</v>
      </c>
      <c r="I75" s="7" t="n">
        <f aca="false">IF(F75="Venta",G75*H75,0)</f>
        <v>0</v>
      </c>
      <c r="J75" s="2"/>
      <c r="K75" s="2" t="s">
        <v>167</v>
      </c>
      <c r="L75" s="2" t="s">
        <v>168</v>
      </c>
      <c r="M75" s="2" t="n">
        <v>10</v>
      </c>
    </row>
    <row r="76" customFormat="false" ht="15" hidden="false" customHeight="false" outlineLevel="0" collapsed="false">
      <c r="A76" s="6" t="n">
        <v>46326</v>
      </c>
      <c r="B76" s="2" t="s">
        <v>239</v>
      </c>
      <c r="C76" s="2" t="s">
        <v>140</v>
      </c>
      <c r="D76" s="2" t="s">
        <v>141</v>
      </c>
      <c r="E76" s="2" t="s">
        <v>172</v>
      </c>
      <c r="F76" s="2" t="s">
        <v>165</v>
      </c>
      <c r="G76" s="2" t="n">
        <v>1</v>
      </c>
      <c r="H76" s="7" t="n">
        <v>18310</v>
      </c>
      <c r="I76" s="7" t="n">
        <f aca="false">IF(F76="Venta",G76*H76,0)</f>
        <v>0</v>
      </c>
      <c r="J76" s="2"/>
      <c r="K76" s="2" t="s">
        <v>167</v>
      </c>
      <c r="L76" s="2" t="s">
        <v>168</v>
      </c>
      <c r="M76" s="2" t="n">
        <v>10</v>
      </c>
    </row>
    <row r="77" customFormat="false" ht="15" hidden="false" customHeight="false" outlineLevel="0" collapsed="false">
      <c r="A77" s="6" t="n">
        <v>46327</v>
      </c>
      <c r="B77" s="2" t="s">
        <v>240</v>
      </c>
      <c r="C77" s="2" t="s">
        <v>139</v>
      </c>
      <c r="D77" s="2" t="s">
        <v>57</v>
      </c>
      <c r="E77" s="2" t="s">
        <v>160</v>
      </c>
      <c r="F77" s="2" t="s">
        <v>165</v>
      </c>
      <c r="G77" s="2" t="n">
        <v>1</v>
      </c>
      <c r="H77" s="7" t="n">
        <v>12810</v>
      </c>
      <c r="I77" s="7" t="n">
        <f aca="false">IF(F77="Venta",G77*H77,0)</f>
        <v>0</v>
      </c>
      <c r="J77" s="2"/>
      <c r="K77" s="2" t="s">
        <v>167</v>
      </c>
      <c r="L77" s="2" t="s">
        <v>241</v>
      </c>
      <c r="M77" s="2" t="n">
        <v>11</v>
      </c>
    </row>
    <row r="78" customFormat="false" ht="15" hidden="false" customHeight="false" outlineLevel="0" collapsed="false">
      <c r="A78" s="6" t="n">
        <v>46327</v>
      </c>
      <c r="B78" s="2" t="s">
        <v>242</v>
      </c>
      <c r="C78" s="2" t="s">
        <v>142</v>
      </c>
      <c r="D78" s="2" t="s">
        <v>141</v>
      </c>
      <c r="E78" s="2" t="s">
        <v>174</v>
      </c>
      <c r="F78" s="2" t="s">
        <v>165</v>
      </c>
      <c r="G78" s="2" t="n">
        <v>1</v>
      </c>
      <c r="H78" s="7" t="n">
        <v>13910</v>
      </c>
      <c r="I78" s="7" t="n">
        <f aca="false">IF(F78="Venta",G78*H78,0)</f>
        <v>0</v>
      </c>
      <c r="J78" s="2"/>
      <c r="K78" s="2" t="s">
        <v>167</v>
      </c>
      <c r="L78" s="2" t="s">
        <v>241</v>
      </c>
      <c r="M78" s="2" t="n">
        <v>11</v>
      </c>
    </row>
    <row r="79" customFormat="false" ht="15" hidden="false" customHeight="false" outlineLevel="0" collapsed="false">
      <c r="A79" s="6" t="n">
        <v>46327</v>
      </c>
      <c r="B79" s="2" t="s">
        <v>243</v>
      </c>
      <c r="C79" s="2" t="s">
        <v>133</v>
      </c>
      <c r="D79" s="2" t="s">
        <v>132</v>
      </c>
      <c r="E79" s="2" t="s">
        <v>160</v>
      </c>
      <c r="F79" s="2" t="s">
        <v>165</v>
      </c>
      <c r="G79" s="2" t="n">
        <v>1</v>
      </c>
      <c r="H79" s="7" t="n">
        <v>45810</v>
      </c>
      <c r="I79" s="7" t="n">
        <f aca="false">IF(F79="Venta",G79*H79,0)</f>
        <v>0</v>
      </c>
      <c r="J79" s="2"/>
      <c r="K79" s="2" t="s">
        <v>167</v>
      </c>
      <c r="L79" s="2" t="s">
        <v>241</v>
      </c>
      <c r="M79" s="2" t="n">
        <v>11</v>
      </c>
    </row>
    <row r="80" customFormat="false" ht="15" hidden="false" customHeight="false" outlineLevel="0" collapsed="false">
      <c r="A80" s="6" t="n">
        <v>46327</v>
      </c>
      <c r="B80" s="2" t="s">
        <v>244</v>
      </c>
      <c r="C80" s="2" t="s">
        <v>128</v>
      </c>
      <c r="D80" s="2" t="s">
        <v>63</v>
      </c>
      <c r="E80" s="2" t="s">
        <v>160</v>
      </c>
      <c r="F80" s="2" t="s">
        <v>161</v>
      </c>
      <c r="G80" s="2" t="n">
        <v>1</v>
      </c>
      <c r="H80" s="7" t="n">
        <v>12519</v>
      </c>
      <c r="I80" s="7" t="n">
        <f aca="false">IF(F80="Venta",G80*H80,0)</f>
        <v>12519</v>
      </c>
      <c r="J80" s="2" t="s">
        <v>162</v>
      </c>
      <c r="K80" s="2" t="s">
        <v>167</v>
      </c>
      <c r="L80" s="2" t="s">
        <v>241</v>
      </c>
      <c r="M80" s="2" t="n">
        <v>11</v>
      </c>
    </row>
    <row r="81" customFormat="false" ht="15" hidden="false" customHeight="false" outlineLevel="0" collapsed="false">
      <c r="A81" s="6" t="n">
        <v>46328</v>
      </c>
      <c r="B81" s="2" t="s">
        <v>245</v>
      </c>
      <c r="C81" s="2" t="s">
        <v>131</v>
      </c>
      <c r="D81" s="2" t="s">
        <v>132</v>
      </c>
      <c r="E81" s="2" t="s">
        <v>160</v>
      </c>
      <c r="F81" s="2" t="s">
        <v>165</v>
      </c>
      <c r="G81" s="2" t="n">
        <v>1</v>
      </c>
      <c r="H81" s="7" t="n">
        <v>45810</v>
      </c>
      <c r="I81" s="7" t="n">
        <f aca="false">IF(F81="Venta",G81*H81,0)</f>
        <v>0</v>
      </c>
      <c r="J81" s="2"/>
      <c r="K81" s="2" t="s">
        <v>167</v>
      </c>
      <c r="L81" s="2" t="s">
        <v>241</v>
      </c>
      <c r="M81" s="2" t="n">
        <v>11</v>
      </c>
    </row>
    <row r="82" customFormat="false" ht="15" hidden="false" customHeight="false" outlineLevel="0" collapsed="false">
      <c r="A82" s="6" t="n">
        <v>46328</v>
      </c>
      <c r="B82" s="2" t="s">
        <v>171</v>
      </c>
      <c r="C82" s="2" t="s">
        <v>142</v>
      </c>
      <c r="D82" s="2" t="s">
        <v>141</v>
      </c>
      <c r="E82" s="2" t="s">
        <v>174</v>
      </c>
      <c r="F82" s="2" t="s">
        <v>161</v>
      </c>
      <c r="G82" s="2" t="n">
        <v>2</v>
      </c>
      <c r="H82" s="7" t="n">
        <v>12519</v>
      </c>
      <c r="I82" s="7" t="n">
        <f aca="false">IF(F82="Venta",G82*H82,0)</f>
        <v>25038</v>
      </c>
      <c r="J82" s="2" t="s">
        <v>162</v>
      </c>
      <c r="K82" s="2" t="s">
        <v>167</v>
      </c>
      <c r="L82" s="2" t="s">
        <v>241</v>
      </c>
      <c r="M82" s="2" t="n">
        <v>11</v>
      </c>
    </row>
    <row r="83" customFormat="false" ht="15" hidden="false" customHeight="false" outlineLevel="0" collapsed="false">
      <c r="A83" s="6" t="n">
        <v>46328</v>
      </c>
      <c r="B83" s="2" t="s">
        <v>246</v>
      </c>
      <c r="C83" s="2" t="s">
        <v>134</v>
      </c>
      <c r="D83" s="2" t="s">
        <v>132</v>
      </c>
      <c r="E83" s="2" t="s">
        <v>160</v>
      </c>
      <c r="F83" s="2" t="s">
        <v>165</v>
      </c>
      <c r="G83" s="2" t="n">
        <v>1</v>
      </c>
      <c r="H83" s="7" t="n">
        <v>12810</v>
      </c>
      <c r="I83" s="7" t="n">
        <f aca="false">IF(F83="Venta",G83*H83,0)</f>
        <v>0</v>
      </c>
      <c r="J83" s="2"/>
      <c r="K83" s="2" t="s">
        <v>167</v>
      </c>
      <c r="L83" s="2" t="s">
        <v>241</v>
      </c>
      <c r="M83" s="2" t="n">
        <v>11</v>
      </c>
    </row>
    <row r="84" customFormat="false" ht="15" hidden="false" customHeight="false" outlineLevel="0" collapsed="false">
      <c r="A84" s="6" t="n">
        <v>46329</v>
      </c>
      <c r="B84" s="2" t="s">
        <v>247</v>
      </c>
      <c r="C84" s="2" t="s">
        <v>139</v>
      </c>
      <c r="D84" s="2" t="s">
        <v>57</v>
      </c>
      <c r="E84" s="2" t="s">
        <v>160</v>
      </c>
      <c r="F84" s="2" t="s">
        <v>161</v>
      </c>
      <c r="G84" s="2" t="n">
        <v>1</v>
      </c>
      <c r="H84" s="7" t="n">
        <v>11529</v>
      </c>
      <c r="I84" s="7" t="n">
        <f aca="false">IF(F84="Venta",G84*H84,0)</f>
        <v>11529</v>
      </c>
      <c r="J84" s="2" t="s">
        <v>162</v>
      </c>
      <c r="K84" s="2" t="s">
        <v>167</v>
      </c>
      <c r="L84" s="2" t="s">
        <v>241</v>
      </c>
      <c r="M84" s="2" t="n">
        <v>11</v>
      </c>
    </row>
    <row r="85" customFormat="false" ht="15" hidden="false" customHeight="false" outlineLevel="0" collapsed="false">
      <c r="A85" s="6" t="n">
        <v>46329</v>
      </c>
      <c r="B85" s="2" t="s">
        <v>248</v>
      </c>
      <c r="C85" s="2" t="s">
        <v>139</v>
      </c>
      <c r="D85" s="2" t="s">
        <v>57</v>
      </c>
      <c r="E85" s="2" t="s">
        <v>160</v>
      </c>
      <c r="F85" s="2" t="s">
        <v>165</v>
      </c>
      <c r="G85" s="2" t="n">
        <v>1</v>
      </c>
      <c r="H85" s="7" t="n">
        <v>12810</v>
      </c>
      <c r="I85" s="7" t="n">
        <f aca="false">IF(F85="Venta",G85*H85,0)</f>
        <v>0</v>
      </c>
      <c r="J85" s="2"/>
      <c r="K85" s="2" t="s">
        <v>167</v>
      </c>
      <c r="L85" s="2" t="s">
        <v>241</v>
      </c>
      <c r="M85" s="2" t="n">
        <v>11</v>
      </c>
    </row>
    <row r="86" customFormat="false" ht="15" hidden="false" customHeight="false" outlineLevel="0" collapsed="false">
      <c r="A86" s="6" t="n">
        <v>46330</v>
      </c>
      <c r="B86" s="2" t="s">
        <v>249</v>
      </c>
      <c r="C86" s="2" t="s">
        <v>133</v>
      </c>
      <c r="D86" s="2" t="s">
        <v>132</v>
      </c>
      <c r="E86" s="2" t="s">
        <v>160</v>
      </c>
      <c r="F86" s="2" t="s">
        <v>165</v>
      </c>
      <c r="G86" s="2" t="n">
        <v>1</v>
      </c>
      <c r="H86" s="7" t="n">
        <v>45810</v>
      </c>
      <c r="I86" s="7" t="n">
        <f aca="false">IF(F86="Venta",G86*H86,0)</f>
        <v>0</v>
      </c>
      <c r="J86" s="2"/>
      <c r="K86" s="2" t="s">
        <v>167</v>
      </c>
      <c r="L86" s="2" t="s">
        <v>241</v>
      </c>
      <c r="M86" s="2" t="n">
        <v>11</v>
      </c>
    </row>
    <row r="87" customFormat="false" ht="15" hidden="false" customHeight="false" outlineLevel="0" collapsed="false">
      <c r="A87" s="6" t="n">
        <v>46330</v>
      </c>
      <c r="B87" s="2" t="s">
        <v>250</v>
      </c>
      <c r="C87" s="2" t="s">
        <v>133</v>
      </c>
      <c r="D87" s="2" t="s">
        <v>132</v>
      </c>
      <c r="E87" s="2" t="s">
        <v>174</v>
      </c>
      <c r="F87" s="2" t="s">
        <v>165</v>
      </c>
      <c r="G87" s="2" t="n">
        <v>1</v>
      </c>
      <c r="H87" s="7" t="n">
        <v>45810</v>
      </c>
      <c r="I87" s="7" t="n">
        <f aca="false">IF(F87="Venta",G87*H87,0)</f>
        <v>0</v>
      </c>
      <c r="J87" s="2"/>
      <c r="K87" s="2" t="s">
        <v>167</v>
      </c>
      <c r="L87" s="2" t="s">
        <v>241</v>
      </c>
      <c r="M87" s="2" t="n">
        <v>11</v>
      </c>
    </row>
    <row r="88" customFormat="false" ht="15" hidden="false" customHeight="false" outlineLevel="0" collapsed="false">
      <c r="A88" s="6" t="n">
        <v>46330</v>
      </c>
      <c r="B88" s="2" t="s">
        <v>251</v>
      </c>
      <c r="C88" s="2" t="s">
        <v>134</v>
      </c>
      <c r="D88" s="2" t="s">
        <v>132</v>
      </c>
      <c r="E88" s="2" t="s">
        <v>160</v>
      </c>
      <c r="F88" s="2" t="s">
        <v>161</v>
      </c>
      <c r="G88" s="2" t="n">
        <v>2</v>
      </c>
      <c r="H88" s="7" t="n">
        <v>12810</v>
      </c>
      <c r="I88" s="7" t="n">
        <f aca="false">IF(F88="Venta",G88*H88,0)</f>
        <v>25620</v>
      </c>
      <c r="J88" s="2" t="s">
        <v>179</v>
      </c>
      <c r="K88" s="2" t="s">
        <v>167</v>
      </c>
      <c r="L88" s="2" t="s">
        <v>241</v>
      </c>
      <c r="M88" s="2" t="n">
        <v>11</v>
      </c>
    </row>
    <row r="89" customFormat="false" ht="15" hidden="false" customHeight="false" outlineLevel="0" collapsed="false">
      <c r="A89" s="6" t="n">
        <v>46332</v>
      </c>
      <c r="B89" s="2" t="s">
        <v>252</v>
      </c>
      <c r="C89" s="2" t="s">
        <v>131</v>
      </c>
      <c r="D89" s="2" t="s">
        <v>132</v>
      </c>
      <c r="E89" s="2" t="s">
        <v>160</v>
      </c>
      <c r="F89" s="2" t="s">
        <v>165</v>
      </c>
      <c r="G89" s="2" t="n">
        <v>1</v>
      </c>
      <c r="H89" s="7" t="n">
        <v>45810</v>
      </c>
      <c r="I89" s="7" t="n">
        <f aca="false">IF(F89="Venta",G89*H89,0)</f>
        <v>0</v>
      </c>
      <c r="J89" s="2"/>
      <c r="K89" s="2" t="s">
        <v>167</v>
      </c>
      <c r="L89" s="2" t="s">
        <v>241</v>
      </c>
      <c r="M89" s="2" t="n">
        <v>11</v>
      </c>
    </row>
    <row r="90" customFormat="false" ht="15" hidden="false" customHeight="false" outlineLevel="0" collapsed="false">
      <c r="A90" s="6" t="n">
        <v>46333</v>
      </c>
      <c r="B90" s="2" t="s">
        <v>253</v>
      </c>
      <c r="C90" s="2" t="s">
        <v>138</v>
      </c>
      <c r="D90" s="2" t="s">
        <v>136</v>
      </c>
      <c r="E90" s="2" t="s">
        <v>160</v>
      </c>
      <c r="F90" s="2" t="s">
        <v>165</v>
      </c>
      <c r="G90" s="2" t="n">
        <v>1</v>
      </c>
      <c r="H90" s="7" t="n">
        <v>13200</v>
      </c>
      <c r="I90" s="7" t="n">
        <f aca="false">IF(F90="Venta",G90*H90,0)</f>
        <v>0</v>
      </c>
      <c r="J90" s="2"/>
      <c r="K90" s="2" t="s">
        <v>167</v>
      </c>
      <c r="L90" s="2" t="s">
        <v>241</v>
      </c>
      <c r="M90" s="2" t="n">
        <v>11</v>
      </c>
    </row>
    <row r="91" customFormat="false" ht="15" hidden="false" customHeight="false" outlineLevel="0" collapsed="false">
      <c r="A91" s="6" t="n">
        <v>46333</v>
      </c>
      <c r="B91" s="2" t="s">
        <v>254</v>
      </c>
      <c r="C91" s="2" t="s">
        <v>146</v>
      </c>
      <c r="D91" s="2" t="s">
        <v>145</v>
      </c>
      <c r="E91" s="2" t="s">
        <v>160</v>
      </c>
      <c r="F91" s="2" t="s">
        <v>165</v>
      </c>
      <c r="G91" s="2" t="n">
        <v>1</v>
      </c>
      <c r="H91" s="7" t="n">
        <v>28000</v>
      </c>
      <c r="I91" s="7" t="n">
        <f aca="false">IF(F91="Venta",G91*H91,0)</f>
        <v>0</v>
      </c>
      <c r="J91" s="2"/>
      <c r="K91" s="2" t="s">
        <v>167</v>
      </c>
      <c r="L91" s="2" t="s">
        <v>241</v>
      </c>
      <c r="M91" s="2" t="n">
        <v>11</v>
      </c>
    </row>
    <row r="92" customFormat="false" ht="15" hidden="false" customHeight="false" outlineLevel="0" collapsed="false">
      <c r="A92" s="6" t="n">
        <v>46333</v>
      </c>
      <c r="B92" s="2" t="s">
        <v>255</v>
      </c>
      <c r="C92" s="2" t="s">
        <v>135</v>
      </c>
      <c r="D92" s="2" t="s">
        <v>136</v>
      </c>
      <c r="E92" s="2" t="s">
        <v>174</v>
      </c>
      <c r="F92" s="2" t="s">
        <v>165</v>
      </c>
      <c r="G92" s="2" t="n">
        <v>1</v>
      </c>
      <c r="H92" s="7" t="n">
        <v>15900</v>
      </c>
      <c r="I92" s="7" t="n">
        <f aca="false">IF(F92="Venta",G92*H92,0)</f>
        <v>0</v>
      </c>
      <c r="J92" s="2"/>
      <c r="K92" s="2" t="s">
        <v>167</v>
      </c>
      <c r="L92" s="2" t="s">
        <v>241</v>
      </c>
      <c r="M92" s="2" t="n">
        <v>11</v>
      </c>
    </row>
    <row r="93" customFormat="false" ht="15" hidden="false" customHeight="false" outlineLevel="0" collapsed="false">
      <c r="A93" s="6" t="n">
        <v>46334</v>
      </c>
      <c r="B93" s="2" t="s">
        <v>256</v>
      </c>
      <c r="C93" s="2" t="s">
        <v>134</v>
      </c>
      <c r="D93" s="2" t="s">
        <v>132</v>
      </c>
      <c r="E93" s="2" t="s">
        <v>172</v>
      </c>
      <c r="F93" s="2" t="s">
        <v>165</v>
      </c>
      <c r="G93" s="2" t="n">
        <v>1</v>
      </c>
      <c r="H93" s="7" t="n">
        <v>12810</v>
      </c>
      <c r="I93" s="7" t="n">
        <f aca="false">IF(F93="Venta",G93*H93,0)</f>
        <v>0</v>
      </c>
      <c r="J93" s="2"/>
      <c r="K93" s="2" t="s">
        <v>167</v>
      </c>
      <c r="L93" s="2" t="s">
        <v>241</v>
      </c>
      <c r="M93" s="2" t="n">
        <v>11</v>
      </c>
    </row>
    <row r="94" customFormat="false" ht="15" hidden="false" customHeight="false" outlineLevel="0" collapsed="false">
      <c r="A94" s="6" t="n">
        <v>46334</v>
      </c>
      <c r="B94" s="2" t="s">
        <v>257</v>
      </c>
      <c r="C94" s="2" t="s">
        <v>140</v>
      </c>
      <c r="D94" s="2" t="s">
        <v>141</v>
      </c>
      <c r="E94" s="2" t="s">
        <v>160</v>
      </c>
      <c r="F94" s="2" t="s">
        <v>165</v>
      </c>
      <c r="G94" s="2" t="n">
        <v>1</v>
      </c>
      <c r="H94" s="7" t="n">
        <v>18310</v>
      </c>
      <c r="I94" s="7" t="n">
        <f aca="false">IF(F94="Venta",G94*H94,0)</f>
        <v>0</v>
      </c>
      <c r="J94" s="2"/>
      <c r="K94" s="2" t="s">
        <v>167</v>
      </c>
      <c r="L94" s="2" t="s">
        <v>241</v>
      </c>
      <c r="M94" s="2" t="n">
        <v>11</v>
      </c>
    </row>
    <row r="95" customFormat="false" ht="15" hidden="false" customHeight="false" outlineLevel="0" collapsed="false">
      <c r="A95" s="6" t="n">
        <v>46335</v>
      </c>
      <c r="B95" s="2" t="s">
        <v>258</v>
      </c>
      <c r="C95" s="2" t="s">
        <v>131</v>
      </c>
      <c r="D95" s="2" t="s">
        <v>132</v>
      </c>
      <c r="E95" s="2" t="s">
        <v>174</v>
      </c>
      <c r="F95" s="2" t="s">
        <v>165</v>
      </c>
      <c r="G95" s="2" t="n">
        <v>1</v>
      </c>
      <c r="H95" s="7" t="n">
        <v>45810</v>
      </c>
      <c r="I95" s="7" t="n">
        <f aca="false">IF(F95="Venta",G95*H95,0)</f>
        <v>0</v>
      </c>
      <c r="J95" s="2"/>
      <c r="K95" s="2" t="s">
        <v>167</v>
      </c>
      <c r="L95" s="2" t="s">
        <v>241</v>
      </c>
      <c r="M95" s="2" t="n">
        <v>11</v>
      </c>
    </row>
    <row r="96" customFormat="false" ht="15" hidden="false" customHeight="false" outlineLevel="0" collapsed="false">
      <c r="A96" s="6" t="n">
        <v>46335</v>
      </c>
      <c r="B96" s="2" t="s">
        <v>259</v>
      </c>
      <c r="C96" s="2" t="s">
        <v>149</v>
      </c>
      <c r="D96" s="2" t="s">
        <v>145</v>
      </c>
      <c r="E96" s="2" t="s">
        <v>174</v>
      </c>
      <c r="F96" s="2" t="s">
        <v>165</v>
      </c>
      <c r="G96" s="2" t="n">
        <v>1</v>
      </c>
      <c r="H96" s="7" t="n">
        <v>27000</v>
      </c>
      <c r="I96" s="7" t="n">
        <f aca="false">IF(F96="Venta",G96*H96,0)</f>
        <v>0</v>
      </c>
      <c r="J96" s="2"/>
      <c r="K96" s="2" t="s">
        <v>167</v>
      </c>
      <c r="L96" s="2" t="s">
        <v>241</v>
      </c>
      <c r="M96" s="2" t="n">
        <v>11</v>
      </c>
    </row>
    <row r="97" customFormat="false" ht="15" hidden="false" customHeight="false" outlineLevel="0" collapsed="false">
      <c r="A97" s="6" t="n">
        <v>46335</v>
      </c>
      <c r="B97" s="2" t="s">
        <v>176</v>
      </c>
      <c r="C97" s="2" t="s">
        <v>150</v>
      </c>
      <c r="D97" s="2" t="s">
        <v>145</v>
      </c>
      <c r="E97" s="2" t="s">
        <v>160</v>
      </c>
      <c r="F97" s="2" t="s">
        <v>165</v>
      </c>
      <c r="G97" s="2" t="n">
        <v>1</v>
      </c>
      <c r="H97" s="7" t="n">
        <v>24200</v>
      </c>
      <c r="I97" s="7" t="n">
        <f aca="false">IF(F97="Venta",G97*H97,0)</f>
        <v>0</v>
      </c>
      <c r="J97" s="2"/>
      <c r="K97" s="2" t="s">
        <v>167</v>
      </c>
      <c r="L97" s="2" t="s">
        <v>241</v>
      </c>
      <c r="M97" s="2" t="n">
        <v>11</v>
      </c>
    </row>
    <row r="98" customFormat="false" ht="15" hidden="false" customHeight="false" outlineLevel="0" collapsed="false">
      <c r="A98" s="6" t="n">
        <v>46335</v>
      </c>
      <c r="B98" s="2" t="s">
        <v>260</v>
      </c>
      <c r="C98" s="2" t="s">
        <v>131</v>
      </c>
      <c r="D98" s="2" t="s">
        <v>132</v>
      </c>
      <c r="E98" s="2" t="s">
        <v>160</v>
      </c>
      <c r="F98" s="2" t="s">
        <v>165</v>
      </c>
      <c r="G98" s="2" t="n">
        <v>1</v>
      </c>
      <c r="H98" s="7" t="n">
        <v>45810</v>
      </c>
      <c r="I98" s="7" t="n">
        <f aca="false">IF(F98="Venta",G98*H98,0)</f>
        <v>0</v>
      </c>
      <c r="J98" s="2"/>
      <c r="K98" s="2" t="s">
        <v>167</v>
      </c>
      <c r="L98" s="2" t="s">
        <v>241</v>
      </c>
      <c r="M98" s="2" t="n">
        <v>11</v>
      </c>
    </row>
    <row r="99" customFormat="false" ht="15" hidden="false" customHeight="false" outlineLevel="0" collapsed="false">
      <c r="A99" s="6" t="n">
        <v>46336</v>
      </c>
      <c r="B99" s="2" t="s">
        <v>261</v>
      </c>
      <c r="C99" s="2" t="s">
        <v>131</v>
      </c>
      <c r="D99" s="2" t="s">
        <v>132</v>
      </c>
      <c r="E99" s="2" t="s">
        <v>160</v>
      </c>
      <c r="F99" s="2" t="s">
        <v>161</v>
      </c>
      <c r="G99" s="2" t="n">
        <v>1</v>
      </c>
      <c r="H99" s="7" t="n">
        <v>41229</v>
      </c>
      <c r="I99" s="7" t="n">
        <f aca="false">IF(F99="Venta",G99*H99,0)</f>
        <v>41229</v>
      </c>
      <c r="J99" s="2" t="s">
        <v>162</v>
      </c>
      <c r="K99" s="2" t="s">
        <v>167</v>
      </c>
      <c r="L99" s="2" t="s">
        <v>241</v>
      </c>
      <c r="M99" s="2" t="n">
        <v>11</v>
      </c>
    </row>
    <row r="100" customFormat="false" ht="15" hidden="false" customHeight="false" outlineLevel="0" collapsed="false">
      <c r="A100" s="6" t="n">
        <v>46336</v>
      </c>
      <c r="B100" s="2" t="s">
        <v>219</v>
      </c>
      <c r="C100" s="2" t="s">
        <v>133</v>
      </c>
      <c r="D100" s="2" t="s">
        <v>132</v>
      </c>
      <c r="E100" s="2" t="s">
        <v>172</v>
      </c>
      <c r="F100" s="2" t="s">
        <v>165</v>
      </c>
      <c r="G100" s="2" t="n">
        <v>1</v>
      </c>
      <c r="H100" s="7" t="n">
        <v>45810</v>
      </c>
      <c r="I100" s="7" t="n">
        <f aca="false">IF(F100="Venta",G100*H100,0)</f>
        <v>0</v>
      </c>
      <c r="J100" s="2"/>
      <c r="K100" s="2" t="s">
        <v>167</v>
      </c>
      <c r="L100" s="2" t="s">
        <v>241</v>
      </c>
      <c r="M100" s="2" t="n">
        <v>11</v>
      </c>
    </row>
    <row r="101" customFormat="false" ht="15" hidden="false" customHeight="false" outlineLevel="0" collapsed="false">
      <c r="A101" s="6" t="n">
        <v>46336</v>
      </c>
      <c r="B101" s="2" t="s">
        <v>202</v>
      </c>
      <c r="C101" s="2" t="s">
        <v>138</v>
      </c>
      <c r="D101" s="2" t="s">
        <v>136</v>
      </c>
      <c r="E101" s="2" t="s">
        <v>160</v>
      </c>
      <c r="F101" s="2" t="s">
        <v>161</v>
      </c>
      <c r="G101" s="2" t="n">
        <v>2</v>
      </c>
      <c r="H101" s="7" t="n">
        <v>13200</v>
      </c>
      <c r="I101" s="7" t="n">
        <f aca="false">IF(F101="Venta",G101*H101,0)</f>
        <v>26400</v>
      </c>
      <c r="J101" s="2" t="s">
        <v>179</v>
      </c>
      <c r="K101" s="2" t="s">
        <v>167</v>
      </c>
      <c r="L101" s="2" t="s">
        <v>241</v>
      </c>
      <c r="M101" s="2" t="n">
        <v>11</v>
      </c>
    </row>
    <row r="102" customFormat="false" ht="15" hidden="false" customHeight="false" outlineLevel="0" collapsed="false">
      <c r="A102" s="6" t="n">
        <v>46336</v>
      </c>
      <c r="B102" s="2" t="s">
        <v>262</v>
      </c>
      <c r="C102" s="2" t="s">
        <v>133</v>
      </c>
      <c r="D102" s="2" t="s">
        <v>132</v>
      </c>
      <c r="E102" s="2" t="s">
        <v>174</v>
      </c>
      <c r="F102" s="2" t="s">
        <v>161</v>
      </c>
      <c r="G102" s="2" t="n">
        <v>2</v>
      </c>
      <c r="H102" s="7" t="n">
        <v>41229</v>
      </c>
      <c r="I102" s="7" t="n">
        <f aca="false">IF(F102="Venta",G102*H102,0)</f>
        <v>82458</v>
      </c>
      <c r="J102" s="2" t="s">
        <v>162</v>
      </c>
      <c r="K102" s="2" t="s">
        <v>167</v>
      </c>
      <c r="L102" s="2" t="s">
        <v>241</v>
      </c>
      <c r="M102" s="2" t="n">
        <v>11</v>
      </c>
    </row>
    <row r="103" customFormat="false" ht="15" hidden="false" customHeight="false" outlineLevel="0" collapsed="false">
      <c r="A103" s="6" t="n">
        <v>46337</v>
      </c>
      <c r="B103" s="2" t="s">
        <v>263</v>
      </c>
      <c r="C103" s="2" t="s">
        <v>131</v>
      </c>
      <c r="D103" s="2" t="s">
        <v>132</v>
      </c>
      <c r="E103" s="2" t="s">
        <v>160</v>
      </c>
      <c r="F103" s="2" t="s">
        <v>165</v>
      </c>
      <c r="G103" s="2" t="n">
        <v>1</v>
      </c>
      <c r="H103" s="7" t="n">
        <v>45810</v>
      </c>
      <c r="I103" s="7" t="n">
        <f aca="false">IF(F103="Venta",G103*H103,0)</f>
        <v>0</v>
      </c>
      <c r="J103" s="2"/>
      <c r="K103" s="2" t="s">
        <v>167</v>
      </c>
      <c r="L103" s="2" t="s">
        <v>241</v>
      </c>
      <c r="M103" s="2" t="n">
        <v>11</v>
      </c>
    </row>
    <row r="104" customFormat="false" ht="15" hidden="false" customHeight="false" outlineLevel="0" collapsed="false">
      <c r="A104" s="6" t="n">
        <v>46337</v>
      </c>
      <c r="B104" s="2" t="s">
        <v>264</v>
      </c>
      <c r="C104" s="2" t="s">
        <v>128</v>
      </c>
      <c r="D104" s="2" t="s">
        <v>63</v>
      </c>
      <c r="E104" s="2" t="s">
        <v>160</v>
      </c>
      <c r="F104" s="2" t="s">
        <v>165</v>
      </c>
      <c r="G104" s="2" t="n">
        <v>1</v>
      </c>
      <c r="H104" s="7" t="n">
        <v>13910</v>
      </c>
      <c r="I104" s="7" t="n">
        <f aca="false">IF(F104="Venta",G104*H104,0)</f>
        <v>0</v>
      </c>
      <c r="J104" s="2"/>
      <c r="K104" s="2" t="s">
        <v>167</v>
      </c>
      <c r="L104" s="2" t="s">
        <v>241</v>
      </c>
      <c r="M104" s="2" t="n">
        <v>11</v>
      </c>
    </row>
    <row r="105" customFormat="false" ht="15" hidden="false" customHeight="false" outlineLevel="0" collapsed="false">
      <c r="A105" s="6" t="n">
        <v>46337</v>
      </c>
      <c r="B105" s="2" t="s">
        <v>265</v>
      </c>
      <c r="C105" s="2" t="s">
        <v>131</v>
      </c>
      <c r="D105" s="2" t="s">
        <v>132</v>
      </c>
      <c r="E105" s="2" t="s">
        <v>160</v>
      </c>
      <c r="F105" s="2" t="s">
        <v>161</v>
      </c>
      <c r="G105" s="2" t="n">
        <v>1</v>
      </c>
      <c r="H105" s="7" t="n">
        <v>41229</v>
      </c>
      <c r="I105" s="7" t="n">
        <f aca="false">IF(F105="Venta",G105*H105,0)</f>
        <v>41229</v>
      </c>
      <c r="J105" s="2" t="s">
        <v>162</v>
      </c>
      <c r="K105" s="2" t="s">
        <v>167</v>
      </c>
      <c r="L105" s="2" t="s">
        <v>241</v>
      </c>
      <c r="M105" s="2" t="n">
        <v>11</v>
      </c>
    </row>
    <row r="106" customFormat="false" ht="15" hidden="false" customHeight="false" outlineLevel="0" collapsed="false">
      <c r="A106" s="6" t="n">
        <v>46337</v>
      </c>
      <c r="B106" s="2" t="s">
        <v>266</v>
      </c>
      <c r="C106" s="2" t="s">
        <v>130</v>
      </c>
      <c r="D106" s="2" t="s">
        <v>63</v>
      </c>
      <c r="E106" s="2" t="s">
        <v>160</v>
      </c>
      <c r="F106" s="2" t="s">
        <v>165</v>
      </c>
      <c r="G106" s="2" t="n">
        <v>1</v>
      </c>
      <c r="H106" s="7" t="n">
        <v>13910</v>
      </c>
      <c r="I106" s="7" t="n">
        <f aca="false">IF(F106="Venta",G106*H106,0)</f>
        <v>0</v>
      </c>
      <c r="J106" s="2"/>
      <c r="K106" s="2" t="s">
        <v>167</v>
      </c>
      <c r="L106" s="2" t="s">
        <v>241</v>
      </c>
      <c r="M106" s="2" t="n">
        <v>11</v>
      </c>
    </row>
    <row r="107" customFormat="false" ht="15" hidden="false" customHeight="false" outlineLevel="0" collapsed="false">
      <c r="A107" s="6" t="n">
        <v>46337</v>
      </c>
      <c r="B107" s="2" t="s">
        <v>267</v>
      </c>
      <c r="C107" s="2" t="s">
        <v>135</v>
      </c>
      <c r="D107" s="2" t="s">
        <v>136</v>
      </c>
      <c r="E107" s="2" t="s">
        <v>160</v>
      </c>
      <c r="F107" s="2" t="s">
        <v>165</v>
      </c>
      <c r="G107" s="2" t="n">
        <v>1</v>
      </c>
      <c r="H107" s="7" t="n">
        <v>15900</v>
      </c>
      <c r="I107" s="7" t="n">
        <f aca="false">IF(F107="Venta",G107*H107,0)</f>
        <v>0</v>
      </c>
      <c r="J107" s="2"/>
      <c r="K107" s="2" t="s">
        <v>167</v>
      </c>
      <c r="L107" s="2" t="s">
        <v>241</v>
      </c>
      <c r="M107" s="2" t="n">
        <v>11</v>
      </c>
    </row>
    <row r="108" customFormat="false" ht="15" hidden="false" customHeight="false" outlineLevel="0" collapsed="false">
      <c r="A108" s="6" t="n">
        <v>46338</v>
      </c>
      <c r="B108" s="2" t="s">
        <v>268</v>
      </c>
      <c r="C108" s="2" t="s">
        <v>150</v>
      </c>
      <c r="D108" s="2" t="s">
        <v>145</v>
      </c>
      <c r="E108" s="2" t="s">
        <v>160</v>
      </c>
      <c r="F108" s="2" t="s">
        <v>165</v>
      </c>
      <c r="G108" s="2" t="n">
        <v>1</v>
      </c>
      <c r="H108" s="7" t="n">
        <v>24200</v>
      </c>
      <c r="I108" s="7" t="n">
        <f aca="false">IF(F108="Venta",G108*H108,0)</f>
        <v>0</v>
      </c>
      <c r="J108" s="2"/>
      <c r="K108" s="2" t="s">
        <v>167</v>
      </c>
      <c r="L108" s="2" t="s">
        <v>241</v>
      </c>
      <c r="M108" s="2" t="n">
        <v>11</v>
      </c>
    </row>
    <row r="109" customFormat="false" ht="15" hidden="false" customHeight="false" outlineLevel="0" collapsed="false">
      <c r="A109" s="6" t="n">
        <v>46338</v>
      </c>
      <c r="B109" s="2" t="s">
        <v>269</v>
      </c>
      <c r="C109" s="2" t="s">
        <v>142</v>
      </c>
      <c r="D109" s="2" t="s">
        <v>141</v>
      </c>
      <c r="E109" s="2" t="s">
        <v>160</v>
      </c>
      <c r="F109" s="2" t="s">
        <v>165</v>
      </c>
      <c r="G109" s="2" t="n">
        <v>1</v>
      </c>
      <c r="H109" s="7" t="n">
        <v>13910</v>
      </c>
      <c r="I109" s="7" t="n">
        <f aca="false">IF(F109="Venta",G109*H109,0)</f>
        <v>0</v>
      </c>
      <c r="J109" s="2"/>
      <c r="K109" s="2" t="s">
        <v>167</v>
      </c>
      <c r="L109" s="2" t="s">
        <v>241</v>
      </c>
      <c r="M109" s="2" t="n">
        <v>11</v>
      </c>
    </row>
    <row r="110" customFormat="false" ht="15" hidden="false" customHeight="false" outlineLevel="0" collapsed="false">
      <c r="A110" s="6" t="n">
        <v>46338</v>
      </c>
      <c r="B110" s="2" t="s">
        <v>270</v>
      </c>
      <c r="C110" s="2" t="s">
        <v>138</v>
      </c>
      <c r="D110" s="2" t="s">
        <v>136</v>
      </c>
      <c r="E110" s="2" t="s">
        <v>160</v>
      </c>
      <c r="F110" s="2" t="s">
        <v>165</v>
      </c>
      <c r="G110" s="2" t="n">
        <v>1</v>
      </c>
      <c r="H110" s="7" t="n">
        <v>13200</v>
      </c>
      <c r="I110" s="7" t="n">
        <f aca="false">IF(F110="Venta",G110*H110,0)</f>
        <v>0</v>
      </c>
      <c r="J110" s="2"/>
      <c r="K110" s="2" t="s">
        <v>167</v>
      </c>
      <c r="L110" s="2" t="s">
        <v>241</v>
      </c>
      <c r="M110" s="2" t="n">
        <v>11</v>
      </c>
    </row>
    <row r="111" customFormat="false" ht="15" hidden="false" customHeight="false" outlineLevel="0" collapsed="false">
      <c r="A111" s="6" t="n">
        <v>46338</v>
      </c>
      <c r="B111" s="2" t="s">
        <v>271</v>
      </c>
      <c r="C111" s="2" t="s">
        <v>131</v>
      </c>
      <c r="D111" s="2" t="s">
        <v>132</v>
      </c>
      <c r="E111" s="2" t="s">
        <v>160</v>
      </c>
      <c r="F111" s="2" t="s">
        <v>165</v>
      </c>
      <c r="G111" s="2" t="n">
        <v>1</v>
      </c>
      <c r="H111" s="7" t="n">
        <v>45810</v>
      </c>
      <c r="I111" s="7" t="n">
        <f aca="false">IF(F111="Venta",G111*H111,0)</f>
        <v>0</v>
      </c>
      <c r="J111" s="2"/>
      <c r="K111" s="2" t="s">
        <v>167</v>
      </c>
      <c r="L111" s="2" t="s">
        <v>241</v>
      </c>
      <c r="M111" s="2" t="n">
        <v>11</v>
      </c>
    </row>
    <row r="112" customFormat="false" ht="15" hidden="false" customHeight="false" outlineLevel="0" collapsed="false">
      <c r="A112" s="6" t="n">
        <v>46339</v>
      </c>
      <c r="B112" s="2" t="s">
        <v>272</v>
      </c>
      <c r="C112" s="2" t="s">
        <v>131</v>
      </c>
      <c r="D112" s="2" t="s">
        <v>132</v>
      </c>
      <c r="E112" s="2" t="s">
        <v>172</v>
      </c>
      <c r="F112" s="2" t="s">
        <v>165</v>
      </c>
      <c r="G112" s="2" t="n">
        <v>1</v>
      </c>
      <c r="H112" s="7" t="n">
        <v>45810</v>
      </c>
      <c r="I112" s="7" t="n">
        <f aca="false">IF(F112="Venta",G112*H112,0)</f>
        <v>0</v>
      </c>
      <c r="J112" s="2"/>
      <c r="K112" s="2" t="s">
        <v>167</v>
      </c>
      <c r="L112" s="2" t="s">
        <v>241</v>
      </c>
      <c r="M112" s="2" t="n">
        <v>11</v>
      </c>
    </row>
    <row r="113" customFormat="false" ht="15" hidden="false" customHeight="false" outlineLevel="0" collapsed="false">
      <c r="A113" s="6" t="n">
        <v>46340</v>
      </c>
      <c r="B113" s="2" t="s">
        <v>273</v>
      </c>
      <c r="C113" s="2" t="s">
        <v>128</v>
      </c>
      <c r="D113" s="2" t="s">
        <v>63</v>
      </c>
      <c r="E113" s="2" t="s">
        <v>184</v>
      </c>
      <c r="F113" s="2" t="s">
        <v>161</v>
      </c>
      <c r="G113" s="2" t="n">
        <v>1</v>
      </c>
      <c r="H113" s="7" t="n">
        <v>12519</v>
      </c>
      <c r="I113" s="7" t="n">
        <f aca="false">IF(F113="Venta",G113*H113,0)</f>
        <v>12519</v>
      </c>
      <c r="J113" s="2" t="s">
        <v>162</v>
      </c>
      <c r="K113" s="2" t="s">
        <v>167</v>
      </c>
      <c r="L113" s="2" t="s">
        <v>241</v>
      </c>
      <c r="M113" s="2" t="n">
        <v>11</v>
      </c>
    </row>
    <row r="114" customFormat="false" ht="15" hidden="false" customHeight="false" outlineLevel="0" collapsed="false">
      <c r="A114" s="6" t="n">
        <v>46340</v>
      </c>
      <c r="B114" s="2" t="s">
        <v>274</v>
      </c>
      <c r="C114" s="2" t="s">
        <v>130</v>
      </c>
      <c r="D114" s="2" t="s">
        <v>63</v>
      </c>
      <c r="E114" s="2" t="s">
        <v>160</v>
      </c>
      <c r="F114" s="2" t="s">
        <v>161</v>
      </c>
      <c r="G114" s="2" t="n">
        <v>1</v>
      </c>
      <c r="H114" s="7" t="n">
        <v>13910</v>
      </c>
      <c r="I114" s="7" t="n">
        <f aca="false">IF(F114="Venta",G114*H114,0)</f>
        <v>13910</v>
      </c>
      <c r="J114" s="2" t="s">
        <v>179</v>
      </c>
      <c r="K114" s="2" t="s">
        <v>167</v>
      </c>
      <c r="L114" s="2" t="s">
        <v>241</v>
      </c>
      <c r="M114" s="2" t="n">
        <v>11</v>
      </c>
    </row>
    <row r="115" customFormat="false" ht="15" hidden="false" customHeight="false" outlineLevel="0" collapsed="false">
      <c r="A115" s="6" t="n">
        <v>46340</v>
      </c>
      <c r="B115" s="2" t="s">
        <v>275</v>
      </c>
      <c r="C115" s="2" t="s">
        <v>146</v>
      </c>
      <c r="D115" s="2" t="s">
        <v>145</v>
      </c>
      <c r="E115" s="2" t="s">
        <v>174</v>
      </c>
      <c r="F115" s="2" t="s">
        <v>165</v>
      </c>
      <c r="G115" s="2" t="n">
        <v>1</v>
      </c>
      <c r="H115" s="7" t="n">
        <v>28000</v>
      </c>
      <c r="I115" s="7" t="n">
        <f aca="false">IF(F115="Venta",G115*H115,0)</f>
        <v>0</v>
      </c>
      <c r="J115" s="2"/>
      <c r="K115" s="2" t="s">
        <v>167</v>
      </c>
      <c r="L115" s="2" t="s">
        <v>241</v>
      </c>
      <c r="M115" s="2" t="n">
        <v>11</v>
      </c>
    </row>
    <row r="116" customFormat="false" ht="15" hidden="false" customHeight="false" outlineLevel="0" collapsed="false">
      <c r="A116" s="6" t="n">
        <v>46340</v>
      </c>
      <c r="B116" s="2" t="s">
        <v>276</v>
      </c>
      <c r="C116" s="2" t="s">
        <v>128</v>
      </c>
      <c r="D116" s="2" t="s">
        <v>63</v>
      </c>
      <c r="E116" s="2" t="s">
        <v>160</v>
      </c>
      <c r="F116" s="2" t="s">
        <v>165</v>
      </c>
      <c r="G116" s="2" t="n">
        <v>1</v>
      </c>
      <c r="H116" s="7" t="n">
        <v>13910</v>
      </c>
      <c r="I116" s="7" t="n">
        <f aca="false">IF(F116="Venta",G116*H116,0)</f>
        <v>0</v>
      </c>
      <c r="J116" s="2"/>
      <c r="K116" s="2" t="s">
        <v>167</v>
      </c>
      <c r="L116" s="2" t="s">
        <v>241</v>
      </c>
      <c r="M116" s="2" t="n">
        <v>11</v>
      </c>
    </row>
    <row r="117" customFormat="false" ht="15" hidden="false" customHeight="false" outlineLevel="0" collapsed="false">
      <c r="A117" s="6" t="n">
        <v>46340</v>
      </c>
      <c r="B117" s="2" t="s">
        <v>277</v>
      </c>
      <c r="C117" s="2" t="s">
        <v>135</v>
      </c>
      <c r="D117" s="2" t="s">
        <v>136</v>
      </c>
      <c r="E117" s="2" t="s">
        <v>174</v>
      </c>
      <c r="F117" s="2" t="s">
        <v>161</v>
      </c>
      <c r="G117" s="2" t="n">
        <v>1</v>
      </c>
      <c r="H117" s="7" t="n">
        <v>14310</v>
      </c>
      <c r="I117" s="7" t="n">
        <f aca="false">IF(F117="Venta",G117*H117,0)</f>
        <v>14310</v>
      </c>
      <c r="J117" s="2" t="s">
        <v>162</v>
      </c>
      <c r="K117" s="2" t="s">
        <v>167</v>
      </c>
      <c r="L117" s="2" t="s">
        <v>241</v>
      </c>
      <c r="M117" s="2" t="n">
        <v>11</v>
      </c>
    </row>
    <row r="118" customFormat="false" ht="15" hidden="false" customHeight="false" outlineLevel="0" collapsed="false">
      <c r="A118" s="6" t="n">
        <v>46341</v>
      </c>
      <c r="B118" s="2" t="s">
        <v>193</v>
      </c>
      <c r="C118" s="2" t="s">
        <v>130</v>
      </c>
      <c r="D118" s="2" t="s">
        <v>63</v>
      </c>
      <c r="E118" s="2" t="s">
        <v>160</v>
      </c>
      <c r="F118" s="2" t="s">
        <v>165</v>
      </c>
      <c r="G118" s="2" t="n">
        <v>1</v>
      </c>
      <c r="H118" s="7" t="n">
        <v>13910</v>
      </c>
      <c r="I118" s="7" t="n">
        <f aca="false">IF(F118="Venta",G118*H118,0)</f>
        <v>0</v>
      </c>
      <c r="J118" s="2"/>
      <c r="K118" s="2" t="s">
        <v>167</v>
      </c>
      <c r="L118" s="2" t="s">
        <v>241</v>
      </c>
      <c r="M118" s="2" t="n">
        <v>11</v>
      </c>
    </row>
    <row r="119" customFormat="false" ht="15" hidden="false" customHeight="false" outlineLevel="0" collapsed="false">
      <c r="A119" s="6" t="n">
        <v>46341</v>
      </c>
      <c r="B119" s="2" t="s">
        <v>224</v>
      </c>
      <c r="C119" s="2" t="s">
        <v>143</v>
      </c>
      <c r="D119" s="2" t="s">
        <v>141</v>
      </c>
      <c r="E119" s="2" t="s">
        <v>174</v>
      </c>
      <c r="F119" s="2" t="s">
        <v>165</v>
      </c>
      <c r="G119" s="2" t="n">
        <v>1</v>
      </c>
      <c r="H119" s="7" t="n">
        <v>15100</v>
      </c>
      <c r="I119" s="7" t="n">
        <f aca="false">IF(F119="Venta",G119*H119,0)</f>
        <v>0</v>
      </c>
      <c r="J119" s="2"/>
      <c r="K119" s="2" t="s">
        <v>167</v>
      </c>
      <c r="L119" s="2" t="s">
        <v>241</v>
      </c>
      <c r="M119" s="2" t="n">
        <v>11</v>
      </c>
    </row>
    <row r="120" customFormat="false" ht="15" hidden="false" customHeight="false" outlineLevel="0" collapsed="false">
      <c r="A120" s="6" t="n">
        <v>46341</v>
      </c>
      <c r="B120" s="2" t="s">
        <v>278</v>
      </c>
      <c r="C120" s="2" t="s">
        <v>128</v>
      </c>
      <c r="D120" s="2" t="s">
        <v>63</v>
      </c>
      <c r="E120" s="2" t="s">
        <v>160</v>
      </c>
      <c r="F120" s="2" t="s">
        <v>165</v>
      </c>
      <c r="G120" s="2" t="n">
        <v>1</v>
      </c>
      <c r="H120" s="7" t="n">
        <v>13910</v>
      </c>
      <c r="I120" s="7" t="n">
        <f aca="false">IF(F120="Venta",G120*H120,0)</f>
        <v>0</v>
      </c>
      <c r="J120" s="2"/>
      <c r="K120" s="2" t="s">
        <v>167</v>
      </c>
      <c r="L120" s="2" t="s">
        <v>241</v>
      </c>
      <c r="M120" s="2" t="n">
        <v>11</v>
      </c>
    </row>
    <row r="121" customFormat="false" ht="15" hidden="false" customHeight="false" outlineLevel="0" collapsed="false">
      <c r="A121" s="6" t="n">
        <v>46342</v>
      </c>
      <c r="B121" s="2" t="s">
        <v>279</v>
      </c>
      <c r="C121" s="2" t="s">
        <v>133</v>
      </c>
      <c r="D121" s="2" t="s">
        <v>132</v>
      </c>
      <c r="E121" s="2" t="s">
        <v>160</v>
      </c>
      <c r="F121" s="2" t="s">
        <v>165</v>
      </c>
      <c r="G121" s="2" t="n">
        <v>1</v>
      </c>
      <c r="H121" s="7" t="n">
        <v>45810</v>
      </c>
      <c r="I121" s="7" t="n">
        <f aca="false">IF(F121="Venta",G121*H121,0)</f>
        <v>0</v>
      </c>
      <c r="J121" s="2"/>
      <c r="K121" s="2" t="s">
        <v>167</v>
      </c>
      <c r="L121" s="2" t="s">
        <v>241</v>
      </c>
      <c r="M121" s="2" t="n">
        <v>11</v>
      </c>
    </row>
    <row r="122" customFormat="false" ht="15" hidden="false" customHeight="false" outlineLevel="0" collapsed="false">
      <c r="A122" s="6" t="n">
        <v>46342</v>
      </c>
      <c r="B122" s="2" t="s">
        <v>280</v>
      </c>
      <c r="C122" s="2" t="s">
        <v>139</v>
      </c>
      <c r="D122" s="2" t="s">
        <v>57</v>
      </c>
      <c r="E122" s="2" t="s">
        <v>160</v>
      </c>
      <c r="F122" s="2" t="s">
        <v>165</v>
      </c>
      <c r="G122" s="2" t="n">
        <v>1</v>
      </c>
      <c r="H122" s="7" t="n">
        <v>12810</v>
      </c>
      <c r="I122" s="7" t="n">
        <f aca="false">IF(F122="Venta",G122*H122,0)</f>
        <v>0</v>
      </c>
      <c r="J122" s="2"/>
      <c r="K122" s="2" t="s">
        <v>167</v>
      </c>
      <c r="L122" s="2" t="s">
        <v>241</v>
      </c>
      <c r="M122" s="2" t="n">
        <v>11</v>
      </c>
    </row>
    <row r="123" customFormat="false" ht="15" hidden="false" customHeight="false" outlineLevel="0" collapsed="false">
      <c r="A123" s="6" t="n">
        <v>46343</v>
      </c>
      <c r="B123" s="2" t="s">
        <v>281</v>
      </c>
      <c r="C123" s="2" t="s">
        <v>134</v>
      </c>
      <c r="D123" s="2" t="s">
        <v>132</v>
      </c>
      <c r="E123" s="2" t="s">
        <v>160</v>
      </c>
      <c r="F123" s="2" t="s">
        <v>165</v>
      </c>
      <c r="G123" s="2" t="n">
        <v>1</v>
      </c>
      <c r="H123" s="7" t="n">
        <v>12810</v>
      </c>
      <c r="I123" s="7" t="n">
        <f aca="false">IF(F123="Venta",G123*H123,0)</f>
        <v>0</v>
      </c>
      <c r="J123" s="2"/>
      <c r="K123" s="2" t="s">
        <v>167</v>
      </c>
      <c r="L123" s="2" t="s">
        <v>241</v>
      </c>
      <c r="M123" s="2" t="n">
        <v>11</v>
      </c>
    </row>
    <row r="124" customFormat="false" ht="15" hidden="false" customHeight="false" outlineLevel="0" collapsed="false">
      <c r="A124" s="6" t="n">
        <v>46343</v>
      </c>
      <c r="B124" s="2" t="s">
        <v>282</v>
      </c>
      <c r="C124" s="2" t="s">
        <v>135</v>
      </c>
      <c r="D124" s="2" t="s">
        <v>136</v>
      </c>
      <c r="E124" s="2" t="s">
        <v>160</v>
      </c>
      <c r="F124" s="2" t="s">
        <v>165</v>
      </c>
      <c r="G124" s="2" t="n">
        <v>1</v>
      </c>
      <c r="H124" s="7" t="n">
        <v>15900</v>
      </c>
      <c r="I124" s="7" t="n">
        <f aca="false">IF(F124="Venta",G124*H124,0)</f>
        <v>0</v>
      </c>
      <c r="J124" s="2"/>
      <c r="K124" s="2" t="s">
        <v>167</v>
      </c>
      <c r="L124" s="2" t="s">
        <v>241</v>
      </c>
      <c r="M124" s="2" t="n">
        <v>11</v>
      </c>
    </row>
    <row r="125" customFormat="false" ht="15" hidden="false" customHeight="false" outlineLevel="0" collapsed="false">
      <c r="A125" s="6" t="n">
        <v>46344</v>
      </c>
      <c r="B125" s="2" t="s">
        <v>283</v>
      </c>
      <c r="C125" s="2" t="s">
        <v>137</v>
      </c>
      <c r="D125" s="2" t="s">
        <v>136</v>
      </c>
      <c r="E125" s="2" t="s">
        <v>160</v>
      </c>
      <c r="F125" s="2" t="s">
        <v>165</v>
      </c>
      <c r="G125" s="2" t="n">
        <v>1</v>
      </c>
      <c r="H125" s="7" t="n">
        <v>13200</v>
      </c>
      <c r="I125" s="7" t="n">
        <f aca="false">IF(F125="Venta",G125*H125,0)</f>
        <v>0</v>
      </c>
      <c r="J125" s="2"/>
      <c r="K125" s="2" t="s">
        <v>167</v>
      </c>
      <c r="L125" s="2" t="s">
        <v>241</v>
      </c>
      <c r="M125" s="2" t="n">
        <v>11</v>
      </c>
    </row>
    <row r="126" customFormat="false" ht="15" hidden="false" customHeight="false" outlineLevel="0" collapsed="false">
      <c r="A126" s="6" t="n">
        <v>46344</v>
      </c>
      <c r="B126" s="2" t="s">
        <v>191</v>
      </c>
      <c r="C126" s="2" t="s">
        <v>135</v>
      </c>
      <c r="D126" s="2" t="s">
        <v>136</v>
      </c>
      <c r="E126" s="2" t="s">
        <v>174</v>
      </c>
      <c r="F126" s="2" t="s">
        <v>165</v>
      </c>
      <c r="G126" s="2" t="n">
        <v>1</v>
      </c>
      <c r="H126" s="7" t="n">
        <v>15900</v>
      </c>
      <c r="I126" s="7" t="n">
        <f aca="false">IF(F126="Venta",G126*H126,0)</f>
        <v>0</v>
      </c>
      <c r="J126" s="2"/>
      <c r="K126" s="2" t="s">
        <v>167</v>
      </c>
      <c r="L126" s="2" t="s">
        <v>241</v>
      </c>
      <c r="M126" s="2" t="n">
        <v>11</v>
      </c>
    </row>
    <row r="127" customFormat="false" ht="15" hidden="false" customHeight="false" outlineLevel="0" collapsed="false">
      <c r="A127" s="6" t="n">
        <v>46345</v>
      </c>
      <c r="B127" s="2" t="s">
        <v>284</v>
      </c>
      <c r="C127" s="2" t="s">
        <v>133</v>
      </c>
      <c r="D127" s="2" t="s">
        <v>132</v>
      </c>
      <c r="E127" s="2" t="s">
        <v>184</v>
      </c>
      <c r="F127" s="2" t="s">
        <v>161</v>
      </c>
      <c r="G127" s="2" t="n">
        <v>1</v>
      </c>
      <c r="H127" s="7" t="n">
        <v>41229</v>
      </c>
      <c r="I127" s="7" t="n">
        <f aca="false">IF(F127="Venta",G127*H127,0)</f>
        <v>41229</v>
      </c>
      <c r="J127" s="2" t="s">
        <v>162</v>
      </c>
      <c r="K127" s="2" t="s">
        <v>167</v>
      </c>
      <c r="L127" s="2" t="s">
        <v>241</v>
      </c>
      <c r="M127" s="2" t="n">
        <v>11</v>
      </c>
    </row>
    <row r="128" customFormat="false" ht="15" hidden="false" customHeight="false" outlineLevel="0" collapsed="false">
      <c r="A128" s="6" t="n">
        <v>46345</v>
      </c>
      <c r="B128" s="2" t="s">
        <v>285</v>
      </c>
      <c r="C128" s="2" t="s">
        <v>133</v>
      </c>
      <c r="D128" s="2" t="s">
        <v>132</v>
      </c>
      <c r="E128" s="2" t="s">
        <v>160</v>
      </c>
      <c r="F128" s="2" t="s">
        <v>165</v>
      </c>
      <c r="G128" s="2" t="n">
        <v>1</v>
      </c>
      <c r="H128" s="7" t="n">
        <v>45810</v>
      </c>
      <c r="I128" s="7" t="n">
        <f aca="false">IF(F128="Venta",G128*H128,0)</f>
        <v>0</v>
      </c>
      <c r="J128" s="2"/>
      <c r="K128" s="2" t="s">
        <v>167</v>
      </c>
      <c r="L128" s="2" t="s">
        <v>241</v>
      </c>
      <c r="M128" s="2" t="n">
        <v>11</v>
      </c>
    </row>
    <row r="129" customFormat="false" ht="15" hidden="false" customHeight="false" outlineLevel="0" collapsed="false">
      <c r="A129" s="6" t="n">
        <v>46345</v>
      </c>
      <c r="B129" s="2" t="s">
        <v>286</v>
      </c>
      <c r="C129" s="2" t="s">
        <v>142</v>
      </c>
      <c r="D129" s="2" t="s">
        <v>141</v>
      </c>
      <c r="E129" s="2" t="s">
        <v>160</v>
      </c>
      <c r="F129" s="2" t="s">
        <v>165</v>
      </c>
      <c r="G129" s="2" t="n">
        <v>1</v>
      </c>
      <c r="H129" s="7" t="n">
        <v>13910</v>
      </c>
      <c r="I129" s="7" t="n">
        <f aca="false">IF(F129="Venta",G129*H129,0)</f>
        <v>0</v>
      </c>
      <c r="J129" s="2"/>
      <c r="K129" s="2" t="s">
        <v>167</v>
      </c>
      <c r="L129" s="2" t="s">
        <v>241</v>
      </c>
      <c r="M129" s="2" t="n">
        <v>11</v>
      </c>
    </row>
    <row r="130" customFormat="false" ht="15" hidden="false" customHeight="false" outlineLevel="0" collapsed="false">
      <c r="A130" s="6" t="n">
        <v>46346</v>
      </c>
      <c r="B130" s="2" t="s">
        <v>177</v>
      </c>
      <c r="C130" s="2" t="s">
        <v>150</v>
      </c>
      <c r="D130" s="2" t="s">
        <v>145</v>
      </c>
      <c r="E130" s="2" t="s">
        <v>174</v>
      </c>
      <c r="F130" s="2" t="s">
        <v>165</v>
      </c>
      <c r="G130" s="2" t="n">
        <v>1</v>
      </c>
      <c r="H130" s="7" t="n">
        <v>24200</v>
      </c>
      <c r="I130" s="7" t="n">
        <f aca="false">IF(F130="Venta",G130*H130,0)</f>
        <v>0</v>
      </c>
      <c r="J130" s="2"/>
      <c r="K130" s="2" t="s">
        <v>167</v>
      </c>
      <c r="L130" s="2" t="s">
        <v>241</v>
      </c>
      <c r="M130" s="2" t="n">
        <v>11</v>
      </c>
    </row>
    <row r="131" customFormat="false" ht="15" hidden="false" customHeight="false" outlineLevel="0" collapsed="false">
      <c r="A131" s="6" t="n">
        <v>46346</v>
      </c>
      <c r="B131" s="2" t="s">
        <v>287</v>
      </c>
      <c r="C131" s="2" t="s">
        <v>143</v>
      </c>
      <c r="D131" s="2" t="s">
        <v>141</v>
      </c>
      <c r="E131" s="2" t="s">
        <v>160</v>
      </c>
      <c r="F131" s="2" t="s">
        <v>165</v>
      </c>
      <c r="G131" s="2" t="n">
        <v>1</v>
      </c>
      <c r="H131" s="7" t="n">
        <v>15100</v>
      </c>
      <c r="I131" s="7" t="n">
        <f aca="false">IF(F131="Venta",G131*H131,0)</f>
        <v>0</v>
      </c>
      <c r="J131" s="2"/>
      <c r="K131" s="2" t="s">
        <v>167</v>
      </c>
      <c r="L131" s="2" t="s">
        <v>241</v>
      </c>
      <c r="M131" s="2" t="n">
        <v>11</v>
      </c>
    </row>
    <row r="132" customFormat="false" ht="15" hidden="false" customHeight="false" outlineLevel="0" collapsed="false">
      <c r="A132" s="6" t="n">
        <v>46346</v>
      </c>
      <c r="B132" s="2" t="s">
        <v>288</v>
      </c>
      <c r="C132" s="2" t="s">
        <v>137</v>
      </c>
      <c r="D132" s="2" t="s">
        <v>136</v>
      </c>
      <c r="E132" s="2" t="s">
        <v>160</v>
      </c>
      <c r="F132" s="2" t="s">
        <v>161</v>
      </c>
      <c r="G132" s="2" t="n">
        <v>1</v>
      </c>
      <c r="H132" s="7" t="n">
        <v>11880</v>
      </c>
      <c r="I132" s="7" t="n">
        <f aca="false">IF(F132="Venta",G132*H132,0)</f>
        <v>11880</v>
      </c>
      <c r="J132" s="2" t="s">
        <v>162</v>
      </c>
      <c r="K132" s="2" t="s">
        <v>167</v>
      </c>
      <c r="L132" s="2" t="s">
        <v>241</v>
      </c>
      <c r="M132" s="2" t="n">
        <v>11</v>
      </c>
    </row>
    <row r="133" customFormat="false" ht="15" hidden="false" customHeight="false" outlineLevel="0" collapsed="false">
      <c r="A133" s="6" t="n">
        <v>46346</v>
      </c>
      <c r="B133" s="2" t="s">
        <v>289</v>
      </c>
      <c r="C133" s="2" t="s">
        <v>135</v>
      </c>
      <c r="D133" s="2" t="s">
        <v>136</v>
      </c>
      <c r="E133" s="2" t="s">
        <v>174</v>
      </c>
      <c r="F133" s="2" t="s">
        <v>161</v>
      </c>
      <c r="G133" s="2" t="n">
        <v>1</v>
      </c>
      <c r="H133" s="7" t="n">
        <v>15900</v>
      </c>
      <c r="I133" s="7" t="n">
        <f aca="false">IF(F133="Venta",G133*H133,0)</f>
        <v>15900</v>
      </c>
      <c r="J133" s="2" t="s">
        <v>179</v>
      </c>
      <c r="K133" s="2" t="s">
        <v>167</v>
      </c>
      <c r="L133" s="2" t="s">
        <v>241</v>
      </c>
      <c r="M133" s="2" t="n">
        <v>11</v>
      </c>
    </row>
    <row r="134" customFormat="false" ht="15" hidden="false" customHeight="false" outlineLevel="0" collapsed="false">
      <c r="A134" s="6" t="n">
        <v>46347</v>
      </c>
      <c r="B134" s="2" t="s">
        <v>290</v>
      </c>
      <c r="C134" s="2" t="s">
        <v>147</v>
      </c>
      <c r="D134" s="2" t="s">
        <v>145</v>
      </c>
      <c r="E134" s="2" t="s">
        <v>174</v>
      </c>
      <c r="F134" s="2" t="s">
        <v>165</v>
      </c>
      <c r="G134" s="2" t="n">
        <v>1</v>
      </c>
      <c r="H134" s="7" t="n">
        <v>19900</v>
      </c>
      <c r="I134" s="7" t="n">
        <f aca="false">IF(F134="Venta",G134*H134,0)</f>
        <v>0</v>
      </c>
      <c r="J134" s="2"/>
      <c r="K134" s="2" t="s">
        <v>167</v>
      </c>
      <c r="L134" s="2" t="s">
        <v>241</v>
      </c>
      <c r="M134" s="2" t="n">
        <v>11</v>
      </c>
    </row>
    <row r="135" customFormat="false" ht="15" hidden="false" customHeight="false" outlineLevel="0" collapsed="false">
      <c r="A135" s="6" t="n">
        <v>46348</v>
      </c>
      <c r="B135" s="2" t="s">
        <v>291</v>
      </c>
      <c r="C135" s="2" t="s">
        <v>133</v>
      </c>
      <c r="D135" s="2" t="s">
        <v>132</v>
      </c>
      <c r="E135" s="2" t="s">
        <v>160</v>
      </c>
      <c r="F135" s="2" t="s">
        <v>165</v>
      </c>
      <c r="G135" s="2" t="n">
        <v>1</v>
      </c>
      <c r="H135" s="7" t="n">
        <v>45810</v>
      </c>
      <c r="I135" s="7" t="n">
        <f aca="false">IF(F135="Venta",G135*H135,0)</f>
        <v>0</v>
      </c>
      <c r="J135" s="2"/>
      <c r="K135" s="2" t="s">
        <v>167</v>
      </c>
      <c r="L135" s="2" t="s">
        <v>241</v>
      </c>
      <c r="M135" s="2" t="n">
        <v>11</v>
      </c>
    </row>
    <row r="136" customFormat="false" ht="15" hidden="false" customHeight="false" outlineLevel="0" collapsed="false">
      <c r="A136" s="6" t="n">
        <v>46348</v>
      </c>
      <c r="B136" s="2" t="s">
        <v>292</v>
      </c>
      <c r="C136" s="2" t="s">
        <v>131</v>
      </c>
      <c r="D136" s="2" t="s">
        <v>132</v>
      </c>
      <c r="E136" s="2" t="s">
        <v>160</v>
      </c>
      <c r="F136" s="2" t="s">
        <v>165</v>
      </c>
      <c r="G136" s="2" t="n">
        <v>1</v>
      </c>
      <c r="H136" s="7" t="n">
        <v>45810</v>
      </c>
      <c r="I136" s="7" t="n">
        <f aca="false">IF(F136="Venta",G136*H136,0)</f>
        <v>0</v>
      </c>
      <c r="J136" s="2"/>
      <c r="K136" s="2" t="s">
        <v>167</v>
      </c>
      <c r="L136" s="2" t="s">
        <v>241</v>
      </c>
      <c r="M136" s="2" t="n">
        <v>11</v>
      </c>
    </row>
    <row r="137" customFormat="false" ht="15" hidden="false" customHeight="false" outlineLevel="0" collapsed="false">
      <c r="A137" s="6" t="n">
        <v>46350</v>
      </c>
      <c r="B137" s="2" t="s">
        <v>293</v>
      </c>
      <c r="C137" s="2" t="s">
        <v>131</v>
      </c>
      <c r="D137" s="2" t="s">
        <v>132</v>
      </c>
      <c r="E137" s="2" t="s">
        <v>160</v>
      </c>
      <c r="F137" s="2" t="s">
        <v>161</v>
      </c>
      <c r="G137" s="2" t="n">
        <v>1</v>
      </c>
      <c r="H137" s="7" t="n">
        <v>45810</v>
      </c>
      <c r="I137" s="7" t="n">
        <f aca="false">IF(F137="Venta",G137*H137,0)</f>
        <v>45810</v>
      </c>
      <c r="J137" s="2" t="s">
        <v>179</v>
      </c>
      <c r="K137" s="2" t="s">
        <v>167</v>
      </c>
      <c r="L137" s="2" t="s">
        <v>241</v>
      </c>
      <c r="M137" s="2" t="n">
        <v>11</v>
      </c>
    </row>
    <row r="138" customFormat="false" ht="15" hidden="false" customHeight="false" outlineLevel="0" collapsed="false">
      <c r="A138" s="6" t="n">
        <v>46350</v>
      </c>
      <c r="B138" s="2" t="s">
        <v>294</v>
      </c>
      <c r="C138" s="2" t="s">
        <v>144</v>
      </c>
      <c r="D138" s="2" t="s">
        <v>145</v>
      </c>
      <c r="E138" s="2" t="s">
        <v>160</v>
      </c>
      <c r="F138" s="2" t="s">
        <v>165</v>
      </c>
      <c r="G138" s="2" t="n">
        <v>1</v>
      </c>
      <c r="H138" s="7" t="n">
        <v>22000</v>
      </c>
      <c r="I138" s="7" t="n">
        <f aca="false">IF(F138="Venta",G138*H138,0)</f>
        <v>0</v>
      </c>
      <c r="J138" s="2"/>
      <c r="K138" s="2" t="s">
        <v>167</v>
      </c>
      <c r="L138" s="2" t="s">
        <v>241</v>
      </c>
      <c r="M138" s="2" t="n">
        <v>11</v>
      </c>
    </row>
    <row r="139" customFormat="false" ht="15" hidden="false" customHeight="false" outlineLevel="0" collapsed="false">
      <c r="A139" s="6" t="n">
        <v>46350</v>
      </c>
      <c r="B139" s="2" t="s">
        <v>295</v>
      </c>
      <c r="C139" s="2" t="s">
        <v>149</v>
      </c>
      <c r="D139" s="2" t="s">
        <v>145</v>
      </c>
      <c r="E139" s="2" t="s">
        <v>160</v>
      </c>
      <c r="F139" s="2" t="s">
        <v>165</v>
      </c>
      <c r="G139" s="2" t="n">
        <v>1</v>
      </c>
      <c r="H139" s="7" t="n">
        <v>27000</v>
      </c>
      <c r="I139" s="7" t="n">
        <f aca="false">IF(F139="Venta",G139*H139,0)</f>
        <v>0</v>
      </c>
      <c r="J139" s="2"/>
      <c r="K139" s="2" t="s">
        <v>167</v>
      </c>
      <c r="L139" s="2" t="s">
        <v>241</v>
      </c>
      <c r="M139" s="2" t="n">
        <v>11</v>
      </c>
    </row>
    <row r="140" customFormat="false" ht="15" hidden="false" customHeight="false" outlineLevel="0" collapsed="false">
      <c r="A140" s="6" t="n">
        <v>46351</v>
      </c>
      <c r="B140" s="2" t="s">
        <v>296</v>
      </c>
      <c r="C140" s="2" t="s">
        <v>139</v>
      </c>
      <c r="D140" s="2" t="s">
        <v>57</v>
      </c>
      <c r="E140" s="2" t="s">
        <v>174</v>
      </c>
      <c r="F140" s="2" t="s">
        <v>165</v>
      </c>
      <c r="G140" s="2" t="n">
        <v>1</v>
      </c>
      <c r="H140" s="7" t="n">
        <v>12810</v>
      </c>
      <c r="I140" s="7" t="n">
        <f aca="false">IF(F140="Venta",G140*H140,0)</f>
        <v>0</v>
      </c>
      <c r="J140" s="2"/>
      <c r="K140" s="2" t="s">
        <v>167</v>
      </c>
      <c r="L140" s="2" t="s">
        <v>241</v>
      </c>
      <c r="M140" s="2" t="n">
        <v>11</v>
      </c>
    </row>
    <row r="141" customFormat="false" ht="15" hidden="false" customHeight="false" outlineLevel="0" collapsed="false">
      <c r="A141" s="6" t="n">
        <v>46351</v>
      </c>
      <c r="B141" s="2" t="s">
        <v>193</v>
      </c>
      <c r="C141" s="2" t="s">
        <v>128</v>
      </c>
      <c r="D141" s="2" t="s">
        <v>63</v>
      </c>
      <c r="E141" s="2" t="s">
        <v>160</v>
      </c>
      <c r="F141" s="2" t="s">
        <v>165</v>
      </c>
      <c r="G141" s="2" t="n">
        <v>1</v>
      </c>
      <c r="H141" s="7" t="n">
        <v>13910</v>
      </c>
      <c r="I141" s="7" t="n">
        <f aca="false">IF(F141="Venta",G141*H141,0)</f>
        <v>0</v>
      </c>
      <c r="J141" s="2"/>
      <c r="K141" s="2" t="s">
        <v>167</v>
      </c>
      <c r="L141" s="2" t="s">
        <v>241</v>
      </c>
      <c r="M141" s="2" t="n">
        <v>11</v>
      </c>
    </row>
    <row r="142" customFormat="false" ht="15" hidden="false" customHeight="false" outlineLevel="0" collapsed="false">
      <c r="A142" s="6" t="n">
        <v>46351</v>
      </c>
      <c r="B142" s="2" t="s">
        <v>195</v>
      </c>
      <c r="C142" s="2" t="s">
        <v>148</v>
      </c>
      <c r="D142" s="2" t="s">
        <v>145</v>
      </c>
      <c r="E142" s="2" t="s">
        <v>174</v>
      </c>
      <c r="F142" s="2" t="s">
        <v>165</v>
      </c>
      <c r="G142" s="2" t="n">
        <v>1</v>
      </c>
      <c r="H142" s="7" t="n">
        <v>28000</v>
      </c>
      <c r="I142" s="7" t="n">
        <f aca="false">IF(F142="Venta",G142*H142,0)</f>
        <v>0</v>
      </c>
      <c r="J142" s="2"/>
      <c r="K142" s="2" t="s">
        <v>167</v>
      </c>
      <c r="L142" s="2" t="s">
        <v>241</v>
      </c>
      <c r="M142" s="2" t="n">
        <v>11</v>
      </c>
    </row>
    <row r="143" customFormat="false" ht="15" hidden="false" customHeight="false" outlineLevel="0" collapsed="false">
      <c r="A143" s="6" t="n">
        <v>46351</v>
      </c>
      <c r="B143" s="2" t="s">
        <v>297</v>
      </c>
      <c r="C143" s="2" t="s">
        <v>128</v>
      </c>
      <c r="D143" s="2" t="s">
        <v>63</v>
      </c>
      <c r="E143" s="2" t="s">
        <v>174</v>
      </c>
      <c r="F143" s="2" t="s">
        <v>165</v>
      </c>
      <c r="G143" s="2" t="n">
        <v>1</v>
      </c>
      <c r="H143" s="7" t="n">
        <v>13910</v>
      </c>
      <c r="I143" s="7" t="n">
        <f aca="false">IF(F143="Venta",G143*H143,0)</f>
        <v>0</v>
      </c>
      <c r="J143" s="2"/>
      <c r="K143" s="2" t="s">
        <v>167</v>
      </c>
      <c r="L143" s="2" t="s">
        <v>241</v>
      </c>
      <c r="M143" s="2" t="n">
        <v>11</v>
      </c>
    </row>
    <row r="144" customFormat="false" ht="15" hidden="false" customHeight="false" outlineLevel="0" collapsed="false">
      <c r="A144" s="6" t="n">
        <v>46352</v>
      </c>
      <c r="B144" s="2" t="s">
        <v>298</v>
      </c>
      <c r="C144" s="2" t="s">
        <v>143</v>
      </c>
      <c r="D144" s="2" t="s">
        <v>141</v>
      </c>
      <c r="E144" s="2" t="s">
        <v>160</v>
      </c>
      <c r="F144" s="2" t="s">
        <v>165</v>
      </c>
      <c r="G144" s="2" t="n">
        <v>1</v>
      </c>
      <c r="H144" s="7" t="n">
        <v>15100</v>
      </c>
      <c r="I144" s="7" t="n">
        <f aca="false">IF(F144="Venta",G144*H144,0)</f>
        <v>0</v>
      </c>
      <c r="J144" s="2"/>
      <c r="K144" s="2" t="s">
        <v>167</v>
      </c>
      <c r="L144" s="2" t="s">
        <v>241</v>
      </c>
      <c r="M144" s="2" t="n">
        <v>11</v>
      </c>
    </row>
    <row r="145" customFormat="false" ht="15" hidden="false" customHeight="false" outlineLevel="0" collapsed="false">
      <c r="A145" s="6" t="n">
        <v>46352</v>
      </c>
      <c r="B145" s="2" t="s">
        <v>283</v>
      </c>
      <c r="C145" s="2" t="s">
        <v>139</v>
      </c>
      <c r="D145" s="2" t="s">
        <v>57</v>
      </c>
      <c r="E145" s="2" t="s">
        <v>160</v>
      </c>
      <c r="F145" s="2" t="s">
        <v>165</v>
      </c>
      <c r="G145" s="2" t="n">
        <v>1</v>
      </c>
      <c r="H145" s="7" t="n">
        <v>12810</v>
      </c>
      <c r="I145" s="7" t="n">
        <f aca="false">IF(F145="Venta",G145*H145,0)</f>
        <v>0</v>
      </c>
      <c r="J145" s="2"/>
      <c r="K145" s="2" t="s">
        <v>167</v>
      </c>
      <c r="L145" s="2" t="s">
        <v>241</v>
      </c>
      <c r="M145" s="2" t="n">
        <v>11</v>
      </c>
    </row>
    <row r="146" customFormat="false" ht="15" hidden="false" customHeight="false" outlineLevel="0" collapsed="false">
      <c r="A146" s="6" t="n">
        <v>46352</v>
      </c>
      <c r="B146" s="2" t="s">
        <v>274</v>
      </c>
      <c r="C146" s="2" t="s">
        <v>139</v>
      </c>
      <c r="D146" s="2" t="s">
        <v>57</v>
      </c>
      <c r="E146" s="2" t="s">
        <v>160</v>
      </c>
      <c r="F146" s="2" t="s">
        <v>165</v>
      </c>
      <c r="G146" s="2" t="n">
        <v>1</v>
      </c>
      <c r="H146" s="7" t="n">
        <v>12810</v>
      </c>
      <c r="I146" s="7" t="n">
        <f aca="false">IF(F146="Venta",G146*H146,0)</f>
        <v>0</v>
      </c>
      <c r="J146" s="2"/>
      <c r="K146" s="2" t="s">
        <v>167</v>
      </c>
      <c r="L146" s="2" t="s">
        <v>241</v>
      </c>
      <c r="M146" s="2" t="n">
        <v>11</v>
      </c>
    </row>
    <row r="147" customFormat="false" ht="15" hidden="false" customHeight="false" outlineLevel="0" collapsed="false">
      <c r="A147" s="6" t="n">
        <v>46352</v>
      </c>
      <c r="B147" s="2" t="s">
        <v>227</v>
      </c>
      <c r="C147" s="2" t="s">
        <v>139</v>
      </c>
      <c r="D147" s="2" t="s">
        <v>57</v>
      </c>
      <c r="E147" s="2" t="s">
        <v>160</v>
      </c>
      <c r="F147" s="2" t="s">
        <v>165</v>
      </c>
      <c r="G147" s="2" t="n">
        <v>1</v>
      </c>
      <c r="H147" s="7" t="n">
        <v>12810</v>
      </c>
      <c r="I147" s="7" t="n">
        <f aca="false">IF(F147="Venta",G147*H147,0)</f>
        <v>0</v>
      </c>
      <c r="J147" s="2"/>
      <c r="K147" s="2" t="s">
        <v>167</v>
      </c>
      <c r="L147" s="2" t="s">
        <v>241</v>
      </c>
      <c r="M147" s="2" t="n">
        <v>11</v>
      </c>
    </row>
    <row r="148" customFormat="false" ht="15" hidden="false" customHeight="false" outlineLevel="0" collapsed="false">
      <c r="A148" s="6" t="n">
        <v>46352</v>
      </c>
      <c r="B148" s="2" t="s">
        <v>299</v>
      </c>
      <c r="C148" s="2" t="s">
        <v>131</v>
      </c>
      <c r="D148" s="2" t="s">
        <v>132</v>
      </c>
      <c r="E148" s="2" t="s">
        <v>174</v>
      </c>
      <c r="F148" s="2" t="s">
        <v>165</v>
      </c>
      <c r="G148" s="2" t="n">
        <v>1</v>
      </c>
      <c r="H148" s="7" t="n">
        <v>45810</v>
      </c>
      <c r="I148" s="7" t="n">
        <f aca="false">IF(F148="Venta",G148*H148,0)</f>
        <v>0</v>
      </c>
      <c r="J148" s="2"/>
      <c r="K148" s="2" t="s">
        <v>167</v>
      </c>
      <c r="L148" s="2" t="s">
        <v>241</v>
      </c>
      <c r="M148" s="2" t="n">
        <v>11</v>
      </c>
    </row>
    <row r="149" customFormat="false" ht="15" hidden="false" customHeight="false" outlineLevel="0" collapsed="false">
      <c r="A149" s="6" t="n">
        <v>46352</v>
      </c>
      <c r="B149" s="2" t="s">
        <v>295</v>
      </c>
      <c r="C149" s="2" t="s">
        <v>135</v>
      </c>
      <c r="D149" s="2" t="s">
        <v>136</v>
      </c>
      <c r="E149" s="2" t="s">
        <v>174</v>
      </c>
      <c r="F149" s="2" t="s">
        <v>165</v>
      </c>
      <c r="G149" s="2" t="n">
        <v>1</v>
      </c>
      <c r="H149" s="7" t="n">
        <v>15900</v>
      </c>
      <c r="I149" s="7" t="n">
        <f aca="false">IF(F149="Venta",G149*H149,0)</f>
        <v>0</v>
      </c>
      <c r="J149" s="2"/>
      <c r="K149" s="2" t="s">
        <v>167</v>
      </c>
      <c r="L149" s="2" t="s">
        <v>241</v>
      </c>
      <c r="M149" s="2" t="n">
        <v>11</v>
      </c>
    </row>
    <row r="150" customFormat="false" ht="15" hidden="false" customHeight="false" outlineLevel="0" collapsed="false">
      <c r="A150" s="6" t="n">
        <v>46353</v>
      </c>
      <c r="B150" s="2" t="s">
        <v>300</v>
      </c>
      <c r="C150" s="2" t="s">
        <v>130</v>
      </c>
      <c r="D150" s="2" t="s">
        <v>63</v>
      </c>
      <c r="E150" s="2" t="s">
        <v>174</v>
      </c>
      <c r="F150" s="2" t="s">
        <v>165</v>
      </c>
      <c r="G150" s="2" t="n">
        <v>1</v>
      </c>
      <c r="H150" s="7" t="n">
        <v>13910</v>
      </c>
      <c r="I150" s="7" t="n">
        <f aca="false">IF(F150="Venta",G150*H150,0)</f>
        <v>0</v>
      </c>
      <c r="J150" s="2"/>
      <c r="K150" s="2" t="s">
        <v>167</v>
      </c>
      <c r="L150" s="2" t="s">
        <v>241</v>
      </c>
      <c r="M150" s="2" t="n">
        <v>11</v>
      </c>
    </row>
    <row r="151" customFormat="false" ht="15" hidden="false" customHeight="false" outlineLevel="0" collapsed="false">
      <c r="A151" s="6" t="n">
        <v>46353</v>
      </c>
      <c r="B151" s="2" t="s">
        <v>301</v>
      </c>
      <c r="C151" s="2" t="s">
        <v>128</v>
      </c>
      <c r="D151" s="2" t="s">
        <v>63</v>
      </c>
      <c r="E151" s="2" t="s">
        <v>160</v>
      </c>
      <c r="F151" s="2" t="s">
        <v>165</v>
      </c>
      <c r="G151" s="2" t="n">
        <v>1</v>
      </c>
      <c r="H151" s="7" t="n">
        <v>13910</v>
      </c>
      <c r="I151" s="7" t="n">
        <f aca="false">IF(F151="Venta",G151*H151,0)</f>
        <v>0</v>
      </c>
      <c r="J151" s="2"/>
      <c r="K151" s="2" t="s">
        <v>167</v>
      </c>
      <c r="L151" s="2" t="s">
        <v>241</v>
      </c>
      <c r="M151" s="2" t="n">
        <v>11</v>
      </c>
    </row>
    <row r="152" customFormat="false" ht="15" hidden="false" customHeight="false" outlineLevel="0" collapsed="false">
      <c r="A152" s="6" t="n">
        <v>46353</v>
      </c>
      <c r="B152" s="2" t="s">
        <v>302</v>
      </c>
      <c r="C152" s="2" t="s">
        <v>133</v>
      </c>
      <c r="D152" s="2" t="s">
        <v>132</v>
      </c>
      <c r="E152" s="2" t="s">
        <v>160</v>
      </c>
      <c r="F152" s="2" t="s">
        <v>165</v>
      </c>
      <c r="G152" s="2" t="n">
        <v>1</v>
      </c>
      <c r="H152" s="7" t="n">
        <v>45810</v>
      </c>
      <c r="I152" s="7" t="n">
        <f aca="false">IF(F152="Venta",G152*H152,0)</f>
        <v>0</v>
      </c>
      <c r="J152" s="2"/>
      <c r="K152" s="2" t="s">
        <v>167</v>
      </c>
      <c r="L152" s="2" t="s">
        <v>241</v>
      </c>
      <c r="M152" s="2" t="n">
        <v>11</v>
      </c>
    </row>
    <row r="153" customFormat="false" ht="15" hidden="false" customHeight="false" outlineLevel="0" collapsed="false">
      <c r="A153" s="6" t="n">
        <v>46353</v>
      </c>
      <c r="B153" s="2" t="s">
        <v>303</v>
      </c>
      <c r="C153" s="2" t="s">
        <v>130</v>
      </c>
      <c r="D153" s="2" t="s">
        <v>63</v>
      </c>
      <c r="E153" s="2" t="s">
        <v>160</v>
      </c>
      <c r="F153" s="2" t="s">
        <v>161</v>
      </c>
      <c r="G153" s="2" t="n">
        <v>1</v>
      </c>
      <c r="H153" s="7" t="n">
        <v>12519</v>
      </c>
      <c r="I153" s="7" t="n">
        <f aca="false">IF(F153="Venta",G153*H153,0)</f>
        <v>12519</v>
      </c>
      <c r="J153" s="2" t="s">
        <v>162</v>
      </c>
      <c r="K153" s="2" t="s">
        <v>167</v>
      </c>
      <c r="L153" s="2" t="s">
        <v>241</v>
      </c>
      <c r="M153" s="2" t="n">
        <v>11</v>
      </c>
    </row>
    <row r="154" customFormat="false" ht="15" hidden="false" customHeight="false" outlineLevel="0" collapsed="false">
      <c r="A154" s="6" t="n">
        <v>46353</v>
      </c>
      <c r="B154" s="2" t="s">
        <v>304</v>
      </c>
      <c r="C154" s="2" t="s">
        <v>128</v>
      </c>
      <c r="D154" s="2" t="s">
        <v>63</v>
      </c>
      <c r="E154" s="2" t="s">
        <v>174</v>
      </c>
      <c r="F154" s="2" t="s">
        <v>161</v>
      </c>
      <c r="G154" s="2" t="n">
        <v>1</v>
      </c>
      <c r="H154" s="7" t="n">
        <v>12519</v>
      </c>
      <c r="I154" s="7" t="n">
        <f aca="false">IF(F154="Venta",G154*H154,0)</f>
        <v>12519</v>
      </c>
      <c r="J154" s="2" t="s">
        <v>162</v>
      </c>
      <c r="K154" s="2" t="s">
        <v>167</v>
      </c>
      <c r="L154" s="2" t="s">
        <v>241</v>
      </c>
      <c r="M154" s="2" t="n">
        <v>11</v>
      </c>
    </row>
    <row r="155" customFormat="false" ht="15" hidden="false" customHeight="false" outlineLevel="0" collapsed="false">
      <c r="A155" s="6" t="n">
        <v>46354</v>
      </c>
      <c r="B155" s="2" t="s">
        <v>305</v>
      </c>
      <c r="C155" s="2" t="s">
        <v>139</v>
      </c>
      <c r="D155" s="2" t="s">
        <v>57</v>
      </c>
      <c r="E155" s="2" t="s">
        <v>172</v>
      </c>
      <c r="F155" s="2" t="s">
        <v>165</v>
      </c>
      <c r="G155" s="2" t="n">
        <v>1</v>
      </c>
      <c r="H155" s="7" t="n">
        <v>12810</v>
      </c>
      <c r="I155" s="7" t="n">
        <f aca="false">IF(F155="Venta",G155*H155,0)</f>
        <v>0</v>
      </c>
      <c r="J155" s="2"/>
      <c r="K155" s="2" t="s">
        <v>167</v>
      </c>
      <c r="L155" s="2" t="s">
        <v>241</v>
      </c>
      <c r="M155" s="2" t="n">
        <v>11</v>
      </c>
    </row>
    <row r="156" customFormat="false" ht="15" hidden="false" customHeight="false" outlineLevel="0" collapsed="false">
      <c r="A156" s="6" t="n">
        <v>46354</v>
      </c>
      <c r="B156" s="2" t="s">
        <v>306</v>
      </c>
      <c r="C156" s="2" t="s">
        <v>133</v>
      </c>
      <c r="D156" s="2" t="s">
        <v>132</v>
      </c>
      <c r="E156" s="2" t="s">
        <v>160</v>
      </c>
      <c r="F156" s="2" t="s">
        <v>165</v>
      </c>
      <c r="G156" s="2" t="n">
        <v>1</v>
      </c>
      <c r="H156" s="7" t="n">
        <v>45810</v>
      </c>
      <c r="I156" s="7" t="n">
        <f aca="false">IF(F156="Venta",G156*H156,0)</f>
        <v>0</v>
      </c>
      <c r="J156" s="2"/>
      <c r="K156" s="2" t="s">
        <v>167</v>
      </c>
      <c r="L156" s="2" t="s">
        <v>241</v>
      </c>
      <c r="M156" s="2" t="n">
        <v>11</v>
      </c>
    </row>
    <row r="157" customFormat="false" ht="15" hidden="false" customHeight="false" outlineLevel="0" collapsed="false">
      <c r="A157" s="6" t="n">
        <v>46355</v>
      </c>
      <c r="B157" s="2" t="s">
        <v>307</v>
      </c>
      <c r="C157" s="2" t="s">
        <v>128</v>
      </c>
      <c r="D157" s="2" t="s">
        <v>63</v>
      </c>
      <c r="E157" s="2" t="s">
        <v>160</v>
      </c>
      <c r="F157" s="2" t="s">
        <v>161</v>
      </c>
      <c r="G157" s="2" t="n">
        <v>2</v>
      </c>
      <c r="H157" s="7" t="n">
        <v>13910</v>
      </c>
      <c r="I157" s="7" t="n">
        <f aca="false">IF(F157="Venta",G157*H157,0)</f>
        <v>27820</v>
      </c>
      <c r="J157" s="2" t="s">
        <v>179</v>
      </c>
      <c r="K157" s="2" t="s">
        <v>167</v>
      </c>
      <c r="L157" s="2" t="s">
        <v>241</v>
      </c>
      <c r="M157" s="2" t="n">
        <v>11</v>
      </c>
    </row>
    <row r="158" customFormat="false" ht="15" hidden="false" customHeight="false" outlineLevel="0" collapsed="false">
      <c r="A158" s="6" t="n">
        <v>46356</v>
      </c>
      <c r="B158" s="2" t="s">
        <v>308</v>
      </c>
      <c r="C158" s="2" t="s">
        <v>144</v>
      </c>
      <c r="D158" s="2" t="s">
        <v>145</v>
      </c>
      <c r="E158" s="2" t="s">
        <v>172</v>
      </c>
      <c r="F158" s="2" t="s">
        <v>165</v>
      </c>
      <c r="G158" s="2" t="n">
        <v>1</v>
      </c>
      <c r="H158" s="7" t="n">
        <v>22000</v>
      </c>
      <c r="I158" s="7" t="n">
        <f aca="false">IF(F158="Venta",G158*H158,0)</f>
        <v>0</v>
      </c>
      <c r="J158" s="2"/>
      <c r="K158" s="2" t="s">
        <v>167</v>
      </c>
      <c r="L158" s="2" t="s">
        <v>241</v>
      </c>
      <c r="M158" s="2" t="n">
        <v>11</v>
      </c>
    </row>
    <row r="159" customFormat="false" ht="15" hidden="false" customHeight="false" outlineLevel="0" collapsed="false">
      <c r="A159" s="6" t="n">
        <v>46356</v>
      </c>
      <c r="B159" s="2" t="s">
        <v>309</v>
      </c>
      <c r="C159" s="2" t="s">
        <v>128</v>
      </c>
      <c r="D159" s="2" t="s">
        <v>63</v>
      </c>
      <c r="E159" s="2" t="s">
        <v>160</v>
      </c>
      <c r="F159" s="2" t="s">
        <v>165</v>
      </c>
      <c r="G159" s="2" t="n">
        <v>1</v>
      </c>
      <c r="H159" s="7" t="n">
        <v>13910</v>
      </c>
      <c r="I159" s="7" t="n">
        <f aca="false">IF(F159="Venta",G159*H159,0)</f>
        <v>0</v>
      </c>
      <c r="J159" s="2"/>
      <c r="K159" s="2" t="s">
        <v>167</v>
      </c>
      <c r="L159" s="2" t="s">
        <v>241</v>
      </c>
      <c r="M159" s="2" t="n">
        <v>11</v>
      </c>
    </row>
    <row r="160" customFormat="false" ht="15" hidden="false" customHeight="false" outlineLevel="0" collapsed="false">
      <c r="A160" s="6" t="n">
        <v>46357</v>
      </c>
      <c r="B160" s="2" t="s">
        <v>310</v>
      </c>
      <c r="C160" s="2" t="s">
        <v>142</v>
      </c>
      <c r="D160" s="2" t="s">
        <v>141</v>
      </c>
      <c r="E160" s="2" t="s">
        <v>160</v>
      </c>
      <c r="F160" s="2" t="s">
        <v>165</v>
      </c>
      <c r="G160" s="2" t="n">
        <v>1</v>
      </c>
      <c r="H160" s="7" t="n">
        <v>13910</v>
      </c>
      <c r="I160" s="7" t="n">
        <f aca="false">IF(F160="Venta",G160*H160,0)</f>
        <v>0</v>
      </c>
      <c r="J160" s="2"/>
      <c r="K160" s="2" t="s">
        <v>167</v>
      </c>
      <c r="L160" s="2" t="s">
        <v>311</v>
      </c>
      <c r="M160" s="2" t="n">
        <v>12</v>
      </c>
    </row>
    <row r="161" customFormat="false" ht="15" hidden="false" customHeight="false" outlineLevel="0" collapsed="false">
      <c r="A161" s="6" t="n">
        <v>46357</v>
      </c>
      <c r="B161" s="2" t="s">
        <v>312</v>
      </c>
      <c r="C161" s="2" t="s">
        <v>134</v>
      </c>
      <c r="D161" s="2" t="s">
        <v>132</v>
      </c>
      <c r="E161" s="2" t="s">
        <v>174</v>
      </c>
      <c r="F161" s="2" t="s">
        <v>165</v>
      </c>
      <c r="G161" s="2" t="n">
        <v>1</v>
      </c>
      <c r="H161" s="7" t="n">
        <v>12810</v>
      </c>
      <c r="I161" s="7" t="n">
        <f aca="false">IF(F161="Venta",G161*H161,0)</f>
        <v>0</v>
      </c>
      <c r="J161" s="2"/>
      <c r="K161" s="2" t="s">
        <v>167</v>
      </c>
      <c r="L161" s="2" t="s">
        <v>311</v>
      </c>
      <c r="M161" s="2" t="n">
        <v>12</v>
      </c>
    </row>
    <row r="162" customFormat="false" ht="15" hidden="false" customHeight="false" outlineLevel="0" collapsed="false">
      <c r="A162" s="6" t="n">
        <v>46357</v>
      </c>
      <c r="B162" s="2" t="s">
        <v>313</v>
      </c>
      <c r="C162" s="2" t="s">
        <v>148</v>
      </c>
      <c r="D162" s="2" t="s">
        <v>145</v>
      </c>
      <c r="E162" s="2" t="s">
        <v>160</v>
      </c>
      <c r="F162" s="2" t="s">
        <v>165</v>
      </c>
      <c r="G162" s="2" t="n">
        <v>1</v>
      </c>
      <c r="H162" s="7" t="n">
        <v>28000</v>
      </c>
      <c r="I162" s="7" t="n">
        <f aca="false">IF(F162="Venta",G162*H162,0)</f>
        <v>0</v>
      </c>
      <c r="J162" s="2"/>
      <c r="K162" s="2" t="s">
        <v>167</v>
      </c>
      <c r="L162" s="2" t="s">
        <v>311</v>
      </c>
      <c r="M162" s="2" t="n">
        <v>12</v>
      </c>
    </row>
    <row r="163" customFormat="false" ht="15" hidden="false" customHeight="false" outlineLevel="0" collapsed="false">
      <c r="A163" s="6" t="n">
        <v>46358</v>
      </c>
      <c r="B163" s="2" t="s">
        <v>314</v>
      </c>
      <c r="C163" s="2" t="s">
        <v>130</v>
      </c>
      <c r="D163" s="2" t="s">
        <v>63</v>
      </c>
      <c r="E163" s="2" t="s">
        <v>160</v>
      </c>
      <c r="F163" s="2" t="s">
        <v>165</v>
      </c>
      <c r="G163" s="2" t="n">
        <v>1</v>
      </c>
      <c r="H163" s="7" t="n">
        <v>13910</v>
      </c>
      <c r="I163" s="7" t="n">
        <f aca="false">IF(F163="Venta",G163*H163,0)</f>
        <v>0</v>
      </c>
      <c r="J163" s="2"/>
      <c r="K163" s="2" t="s">
        <v>167</v>
      </c>
      <c r="L163" s="2" t="s">
        <v>311</v>
      </c>
      <c r="M163" s="2" t="n">
        <v>12</v>
      </c>
    </row>
    <row r="164" customFormat="false" ht="15" hidden="false" customHeight="false" outlineLevel="0" collapsed="false">
      <c r="A164" s="6" t="n">
        <v>46358</v>
      </c>
      <c r="B164" s="2" t="s">
        <v>315</v>
      </c>
      <c r="C164" s="2" t="s">
        <v>137</v>
      </c>
      <c r="D164" s="2" t="s">
        <v>136</v>
      </c>
      <c r="E164" s="2" t="s">
        <v>160</v>
      </c>
      <c r="F164" s="2" t="s">
        <v>165</v>
      </c>
      <c r="G164" s="2" t="n">
        <v>1</v>
      </c>
      <c r="H164" s="7" t="n">
        <v>13200</v>
      </c>
      <c r="I164" s="7" t="n">
        <f aca="false">IF(F164="Venta",G164*H164,0)</f>
        <v>0</v>
      </c>
      <c r="J164" s="2"/>
      <c r="K164" s="2" t="s">
        <v>167</v>
      </c>
      <c r="L164" s="2" t="s">
        <v>311</v>
      </c>
      <c r="M164" s="2" t="n">
        <v>12</v>
      </c>
    </row>
    <row r="165" customFormat="false" ht="15" hidden="false" customHeight="false" outlineLevel="0" collapsed="false">
      <c r="A165" s="6" t="n">
        <v>46359</v>
      </c>
      <c r="B165" s="2" t="s">
        <v>316</v>
      </c>
      <c r="C165" s="2" t="s">
        <v>148</v>
      </c>
      <c r="D165" s="2" t="s">
        <v>145</v>
      </c>
      <c r="E165" s="2" t="s">
        <v>184</v>
      </c>
      <c r="F165" s="2" t="s">
        <v>161</v>
      </c>
      <c r="G165" s="2" t="n">
        <v>1</v>
      </c>
      <c r="H165" s="7" t="n">
        <v>25200</v>
      </c>
      <c r="I165" s="7" t="n">
        <f aca="false">IF(F165="Venta",G165*H165,0)</f>
        <v>25200</v>
      </c>
      <c r="J165" s="2" t="s">
        <v>162</v>
      </c>
      <c r="K165" s="2" t="s">
        <v>167</v>
      </c>
      <c r="L165" s="2" t="s">
        <v>311</v>
      </c>
      <c r="M165" s="2" t="n">
        <v>12</v>
      </c>
    </row>
    <row r="166" customFormat="false" ht="15" hidden="false" customHeight="false" outlineLevel="0" collapsed="false">
      <c r="A166" s="6" t="n">
        <v>46359</v>
      </c>
      <c r="B166" s="2" t="s">
        <v>317</v>
      </c>
      <c r="C166" s="2" t="s">
        <v>148</v>
      </c>
      <c r="D166" s="2" t="s">
        <v>145</v>
      </c>
      <c r="E166" s="2" t="s">
        <v>160</v>
      </c>
      <c r="F166" s="2" t="s">
        <v>165</v>
      </c>
      <c r="G166" s="2" t="n">
        <v>1</v>
      </c>
      <c r="H166" s="7" t="n">
        <v>28000</v>
      </c>
      <c r="I166" s="7" t="n">
        <f aca="false">IF(F166="Venta",G166*H166,0)</f>
        <v>0</v>
      </c>
      <c r="J166" s="2"/>
      <c r="K166" s="2" t="s">
        <v>167</v>
      </c>
      <c r="L166" s="2" t="s">
        <v>311</v>
      </c>
      <c r="M166" s="2" t="n">
        <v>12</v>
      </c>
    </row>
    <row r="167" customFormat="false" ht="15" hidden="false" customHeight="false" outlineLevel="0" collapsed="false">
      <c r="A167" s="6" t="n">
        <v>46359</v>
      </c>
      <c r="B167" s="2" t="s">
        <v>318</v>
      </c>
      <c r="C167" s="2" t="s">
        <v>138</v>
      </c>
      <c r="D167" s="2" t="s">
        <v>136</v>
      </c>
      <c r="E167" s="2" t="s">
        <v>160</v>
      </c>
      <c r="F167" s="2" t="s">
        <v>165</v>
      </c>
      <c r="G167" s="2" t="n">
        <v>1</v>
      </c>
      <c r="H167" s="7" t="n">
        <v>13200</v>
      </c>
      <c r="I167" s="7" t="n">
        <f aca="false">IF(F167="Venta",G167*H167,0)</f>
        <v>0</v>
      </c>
      <c r="J167" s="2"/>
      <c r="K167" s="2" t="s">
        <v>167</v>
      </c>
      <c r="L167" s="2" t="s">
        <v>311</v>
      </c>
      <c r="M167" s="2" t="n">
        <v>12</v>
      </c>
    </row>
    <row r="168" customFormat="false" ht="15" hidden="false" customHeight="false" outlineLevel="0" collapsed="false">
      <c r="A168" s="6" t="n">
        <v>46359</v>
      </c>
      <c r="B168" s="2" t="s">
        <v>319</v>
      </c>
      <c r="C168" s="2" t="s">
        <v>139</v>
      </c>
      <c r="D168" s="2" t="s">
        <v>57</v>
      </c>
      <c r="E168" s="2" t="s">
        <v>160</v>
      </c>
      <c r="F168" s="2" t="s">
        <v>165</v>
      </c>
      <c r="G168" s="2" t="n">
        <v>1</v>
      </c>
      <c r="H168" s="7" t="n">
        <v>12810</v>
      </c>
      <c r="I168" s="7" t="n">
        <f aca="false">IF(F168="Venta",G168*H168,0)</f>
        <v>0</v>
      </c>
      <c r="J168" s="2"/>
      <c r="K168" s="2" t="s">
        <v>167</v>
      </c>
      <c r="L168" s="2" t="s">
        <v>311</v>
      </c>
      <c r="M168" s="2" t="n">
        <v>12</v>
      </c>
    </row>
    <row r="169" customFormat="false" ht="15" hidden="false" customHeight="false" outlineLevel="0" collapsed="false">
      <c r="A169" s="6" t="n">
        <v>46360</v>
      </c>
      <c r="B169" s="2" t="s">
        <v>320</v>
      </c>
      <c r="C169" s="2" t="s">
        <v>137</v>
      </c>
      <c r="D169" s="2" t="s">
        <v>136</v>
      </c>
      <c r="E169" s="2" t="s">
        <v>184</v>
      </c>
      <c r="F169" s="2" t="s">
        <v>161</v>
      </c>
      <c r="G169" s="2" t="n">
        <v>1</v>
      </c>
      <c r="H169" s="7" t="n">
        <v>11880</v>
      </c>
      <c r="I169" s="7" t="n">
        <f aca="false">IF(F169="Venta",G169*H169,0)</f>
        <v>11880</v>
      </c>
      <c r="J169" s="2" t="s">
        <v>162</v>
      </c>
      <c r="K169" s="2" t="s">
        <v>167</v>
      </c>
      <c r="L169" s="2" t="s">
        <v>311</v>
      </c>
      <c r="M169" s="2" t="n">
        <v>12</v>
      </c>
    </row>
    <row r="170" customFormat="false" ht="15" hidden="false" customHeight="false" outlineLevel="0" collapsed="false">
      <c r="A170" s="6" t="n">
        <v>46360</v>
      </c>
      <c r="B170" s="2" t="s">
        <v>321</v>
      </c>
      <c r="C170" s="2" t="s">
        <v>130</v>
      </c>
      <c r="D170" s="2" t="s">
        <v>63</v>
      </c>
      <c r="E170" s="2" t="s">
        <v>160</v>
      </c>
      <c r="F170" s="2" t="s">
        <v>165</v>
      </c>
      <c r="G170" s="2" t="n">
        <v>1</v>
      </c>
      <c r="H170" s="7" t="n">
        <v>13910</v>
      </c>
      <c r="I170" s="7" t="n">
        <f aca="false">IF(F170="Venta",G170*H170,0)</f>
        <v>0</v>
      </c>
      <c r="J170" s="2"/>
      <c r="K170" s="2" t="s">
        <v>167</v>
      </c>
      <c r="L170" s="2" t="s">
        <v>311</v>
      </c>
      <c r="M170" s="2" t="n">
        <v>12</v>
      </c>
    </row>
    <row r="171" customFormat="false" ht="15" hidden="false" customHeight="false" outlineLevel="0" collapsed="false">
      <c r="A171" s="6" t="n">
        <v>46360</v>
      </c>
      <c r="B171" s="2" t="s">
        <v>322</v>
      </c>
      <c r="C171" s="2" t="s">
        <v>144</v>
      </c>
      <c r="D171" s="2" t="s">
        <v>145</v>
      </c>
      <c r="E171" s="2" t="s">
        <v>160</v>
      </c>
      <c r="F171" s="2" t="s">
        <v>165</v>
      </c>
      <c r="G171" s="2" t="n">
        <v>1</v>
      </c>
      <c r="H171" s="7" t="n">
        <v>22000</v>
      </c>
      <c r="I171" s="7" t="n">
        <f aca="false">IF(F171="Venta",G171*H171,0)</f>
        <v>0</v>
      </c>
      <c r="J171" s="2"/>
      <c r="K171" s="2" t="s">
        <v>167</v>
      </c>
      <c r="L171" s="2" t="s">
        <v>311</v>
      </c>
      <c r="M171" s="2" t="n">
        <v>12</v>
      </c>
    </row>
    <row r="172" customFormat="false" ht="15" hidden="false" customHeight="false" outlineLevel="0" collapsed="false">
      <c r="A172" s="6" t="n">
        <v>46360</v>
      </c>
      <c r="B172" s="2" t="s">
        <v>323</v>
      </c>
      <c r="C172" s="2" t="s">
        <v>134</v>
      </c>
      <c r="D172" s="2" t="s">
        <v>132</v>
      </c>
      <c r="E172" s="2" t="s">
        <v>174</v>
      </c>
      <c r="F172" s="2" t="s">
        <v>161</v>
      </c>
      <c r="G172" s="2" t="n">
        <v>1</v>
      </c>
      <c r="H172" s="7" t="n">
        <v>12810</v>
      </c>
      <c r="I172" s="7" t="n">
        <f aca="false">IF(F172="Venta",G172*H172,0)</f>
        <v>12810</v>
      </c>
      <c r="J172" s="2" t="s">
        <v>179</v>
      </c>
      <c r="K172" s="2" t="s">
        <v>167</v>
      </c>
      <c r="L172" s="2" t="s">
        <v>311</v>
      </c>
      <c r="M172" s="2" t="n">
        <v>12</v>
      </c>
    </row>
    <row r="173" customFormat="false" ht="15" hidden="false" customHeight="false" outlineLevel="0" collapsed="false">
      <c r="A173" s="6" t="n">
        <v>46361</v>
      </c>
      <c r="B173" s="2" t="s">
        <v>324</v>
      </c>
      <c r="C173" s="2" t="s">
        <v>147</v>
      </c>
      <c r="D173" s="2" t="s">
        <v>145</v>
      </c>
      <c r="E173" s="2" t="s">
        <v>160</v>
      </c>
      <c r="F173" s="2" t="s">
        <v>165</v>
      </c>
      <c r="G173" s="2" t="n">
        <v>1</v>
      </c>
      <c r="H173" s="7" t="n">
        <v>19900</v>
      </c>
      <c r="I173" s="7" t="n">
        <f aca="false">IF(F173="Venta",G173*H173,0)</f>
        <v>0</v>
      </c>
      <c r="J173" s="2"/>
      <c r="K173" s="2" t="s">
        <v>167</v>
      </c>
      <c r="L173" s="2" t="s">
        <v>311</v>
      </c>
      <c r="M173" s="2" t="n">
        <v>12</v>
      </c>
    </row>
    <row r="174" customFormat="false" ht="15" hidden="false" customHeight="false" outlineLevel="0" collapsed="false">
      <c r="A174" s="6" t="n">
        <v>46361</v>
      </c>
      <c r="B174" s="2" t="s">
        <v>325</v>
      </c>
      <c r="C174" s="2" t="s">
        <v>130</v>
      </c>
      <c r="D174" s="2" t="s">
        <v>63</v>
      </c>
      <c r="E174" s="2" t="s">
        <v>174</v>
      </c>
      <c r="F174" s="2" t="s">
        <v>165</v>
      </c>
      <c r="G174" s="2" t="n">
        <v>1</v>
      </c>
      <c r="H174" s="7" t="n">
        <v>13910</v>
      </c>
      <c r="I174" s="7" t="n">
        <f aca="false">IF(F174="Venta",G174*H174,0)</f>
        <v>0</v>
      </c>
      <c r="J174" s="2"/>
      <c r="K174" s="2" t="s">
        <v>167</v>
      </c>
      <c r="L174" s="2" t="s">
        <v>311</v>
      </c>
      <c r="M174" s="2" t="n">
        <v>12</v>
      </c>
    </row>
    <row r="175" customFormat="false" ht="15" hidden="false" customHeight="false" outlineLevel="0" collapsed="false">
      <c r="A175" s="6" t="n">
        <v>46361</v>
      </c>
      <c r="B175" s="2" t="s">
        <v>326</v>
      </c>
      <c r="C175" s="2" t="s">
        <v>128</v>
      </c>
      <c r="D175" s="2" t="s">
        <v>63</v>
      </c>
      <c r="E175" s="2" t="s">
        <v>160</v>
      </c>
      <c r="F175" s="2" t="s">
        <v>165</v>
      </c>
      <c r="G175" s="2" t="n">
        <v>1</v>
      </c>
      <c r="H175" s="7" t="n">
        <v>13910</v>
      </c>
      <c r="I175" s="7" t="n">
        <f aca="false">IF(F175="Venta",G175*H175,0)</f>
        <v>0</v>
      </c>
      <c r="J175" s="2"/>
      <c r="K175" s="2" t="s">
        <v>167</v>
      </c>
      <c r="L175" s="2" t="s">
        <v>311</v>
      </c>
      <c r="M175" s="2" t="n">
        <v>12</v>
      </c>
    </row>
    <row r="176" customFormat="false" ht="15" hidden="false" customHeight="false" outlineLevel="0" collapsed="false">
      <c r="A176" s="6" t="n">
        <v>46361</v>
      </c>
      <c r="B176" s="2" t="s">
        <v>327</v>
      </c>
      <c r="C176" s="2" t="s">
        <v>139</v>
      </c>
      <c r="D176" s="2" t="s">
        <v>57</v>
      </c>
      <c r="E176" s="2" t="s">
        <v>174</v>
      </c>
      <c r="F176" s="2" t="s">
        <v>161</v>
      </c>
      <c r="G176" s="2" t="n">
        <v>2</v>
      </c>
      <c r="H176" s="7" t="n">
        <v>11529</v>
      </c>
      <c r="I176" s="7" t="n">
        <f aca="false">IF(F176="Venta",G176*H176,0)</f>
        <v>23058</v>
      </c>
      <c r="J176" s="2" t="s">
        <v>162</v>
      </c>
      <c r="K176" s="2" t="s">
        <v>167</v>
      </c>
      <c r="L176" s="2" t="s">
        <v>311</v>
      </c>
      <c r="M176" s="2" t="n">
        <v>12</v>
      </c>
    </row>
    <row r="177" customFormat="false" ht="15" hidden="false" customHeight="false" outlineLevel="0" collapsed="false">
      <c r="A177" s="6" t="n">
        <v>46362</v>
      </c>
      <c r="B177" s="2" t="s">
        <v>328</v>
      </c>
      <c r="C177" s="2" t="s">
        <v>130</v>
      </c>
      <c r="D177" s="2" t="s">
        <v>63</v>
      </c>
      <c r="E177" s="2" t="s">
        <v>160</v>
      </c>
      <c r="F177" s="2" t="s">
        <v>165</v>
      </c>
      <c r="G177" s="2" t="n">
        <v>1</v>
      </c>
      <c r="H177" s="7" t="n">
        <v>13910</v>
      </c>
      <c r="I177" s="7" t="n">
        <f aca="false">IF(F177="Venta",G177*H177,0)</f>
        <v>0</v>
      </c>
      <c r="J177" s="2"/>
      <c r="K177" s="2" t="s">
        <v>167</v>
      </c>
      <c r="L177" s="2" t="s">
        <v>311</v>
      </c>
      <c r="M177" s="2" t="n">
        <v>12</v>
      </c>
    </row>
    <row r="178" customFormat="false" ht="15" hidden="false" customHeight="false" outlineLevel="0" collapsed="false">
      <c r="A178" s="6" t="n">
        <v>46362</v>
      </c>
      <c r="B178" s="2" t="s">
        <v>329</v>
      </c>
      <c r="C178" s="2" t="s">
        <v>140</v>
      </c>
      <c r="D178" s="2" t="s">
        <v>141</v>
      </c>
      <c r="E178" s="2" t="s">
        <v>160</v>
      </c>
      <c r="F178" s="2" t="s">
        <v>165</v>
      </c>
      <c r="G178" s="2" t="n">
        <v>1</v>
      </c>
      <c r="H178" s="7" t="n">
        <v>18310</v>
      </c>
      <c r="I178" s="7" t="n">
        <f aca="false">IF(F178="Venta",G178*H178,0)</f>
        <v>0</v>
      </c>
      <c r="J178" s="2"/>
      <c r="K178" s="2" t="s">
        <v>167</v>
      </c>
      <c r="L178" s="2" t="s">
        <v>311</v>
      </c>
      <c r="M178" s="2" t="n">
        <v>12</v>
      </c>
    </row>
    <row r="179" customFormat="false" ht="15" hidden="false" customHeight="false" outlineLevel="0" collapsed="false">
      <c r="A179" s="6" t="n">
        <v>46362</v>
      </c>
      <c r="B179" s="2" t="s">
        <v>330</v>
      </c>
      <c r="C179" s="2" t="s">
        <v>142</v>
      </c>
      <c r="D179" s="2" t="s">
        <v>141</v>
      </c>
      <c r="E179" s="2" t="s">
        <v>184</v>
      </c>
      <c r="F179" s="2" t="s">
        <v>161</v>
      </c>
      <c r="G179" s="2" t="n">
        <v>1</v>
      </c>
      <c r="H179" s="7" t="n">
        <v>12519</v>
      </c>
      <c r="I179" s="7" t="n">
        <f aca="false">IF(F179="Venta",G179*H179,0)</f>
        <v>12519</v>
      </c>
      <c r="J179" s="2" t="s">
        <v>162</v>
      </c>
      <c r="K179" s="2" t="s">
        <v>167</v>
      </c>
      <c r="L179" s="2" t="s">
        <v>311</v>
      </c>
      <c r="M179" s="2" t="n">
        <v>12</v>
      </c>
    </row>
    <row r="180" customFormat="false" ht="15" hidden="false" customHeight="false" outlineLevel="0" collapsed="false">
      <c r="A180" s="6" t="n">
        <v>46362</v>
      </c>
      <c r="B180" s="2" t="s">
        <v>331</v>
      </c>
      <c r="C180" s="2" t="s">
        <v>144</v>
      </c>
      <c r="D180" s="2" t="s">
        <v>145</v>
      </c>
      <c r="E180" s="2" t="s">
        <v>174</v>
      </c>
      <c r="F180" s="2" t="s">
        <v>161</v>
      </c>
      <c r="G180" s="2" t="n">
        <v>2</v>
      </c>
      <c r="H180" s="7" t="n">
        <v>22000</v>
      </c>
      <c r="I180" s="7" t="n">
        <f aca="false">IF(F180="Venta",G180*H180,0)</f>
        <v>44000</v>
      </c>
      <c r="J180" s="2" t="s">
        <v>179</v>
      </c>
      <c r="K180" s="2" t="s">
        <v>167</v>
      </c>
      <c r="L180" s="2" t="s">
        <v>311</v>
      </c>
      <c r="M180" s="2" t="n">
        <v>12</v>
      </c>
    </row>
    <row r="181" customFormat="false" ht="15" hidden="false" customHeight="false" outlineLevel="0" collapsed="false">
      <c r="A181" s="6" t="n">
        <v>46362</v>
      </c>
      <c r="B181" s="2" t="s">
        <v>121</v>
      </c>
      <c r="C181" s="2" t="s">
        <v>142</v>
      </c>
      <c r="D181" s="2" t="s">
        <v>141</v>
      </c>
      <c r="E181" s="2" t="s">
        <v>160</v>
      </c>
      <c r="F181" s="2" t="s">
        <v>165</v>
      </c>
      <c r="G181" s="2" t="n">
        <v>1</v>
      </c>
      <c r="H181" s="7" t="n">
        <v>13910</v>
      </c>
      <c r="I181" s="7" t="n">
        <f aca="false">IF(F181="Venta",G181*H181,0)</f>
        <v>0</v>
      </c>
      <c r="J181" s="2"/>
      <c r="K181" s="2" t="s">
        <v>167</v>
      </c>
      <c r="L181" s="2" t="s">
        <v>311</v>
      </c>
      <c r="M181" s="2" t="n">
        <v>12</v>
      </c>
    </row>
    <row r="182" customFormat="false" ht="15" hidden="false" customHeight="false" outlineLevel="0" collapsed="false">
      <c r="A182" s="6" t="n">
        <v>46363</v>
      </c>
      <c r="B182" s="2" t="s">
        <v>332</v>
      </c>
      <c r="C182" s="2" t="s">
        <v>130</v>
      </c>
      <c r="D182" s="2" t="s">
        <v>63</v>
      </c>
      <c r="E182" s="2" t="s">
        <v>160</v>
      </c>
      <c r="F182" s="2" t="s">
        <v>161</v>
      </c>
      <c r="G182" s="2" t="n">
        <v>1</v>
      </c>
      <c r="H182" s="7" t="n">
        <v>13910</v>
      </c>
      <c r="I182" s="7" t="n">
        <f aca="false">IF(F182="Venta",G182*H182,0)</f>
        <v>13910</v>
      </c>
      <c r="J182" s="2" t="s">
        <v>179</v>
      </c>
      <c r="K182" s="2" t="s">
        <v>167</v>
      </c>
      <c r="L182" s="2" t="s">
        <v>311</v>
      </c>
      <c r="M182" s="2" t="n">
        <v>12</v>
      </c>
    </row>
    <row r="183" customFormat="false" ht="15" hidden="false" customHeight="false" outlineLevel="0" collapsed="false">
      <c r="A183" s="6" t="n">
        <v>46364</v>
      </c>
      <c r="B183" s="2" t="s">
        <v>333</v>
      </c>
      <c r="C183" s="2" t="s">
        <v>142</v>
      </c>
      <c r="D183" s="2" t="s">
        <v>141</v>
      </c>
      <c r="E183" s="2" t="s">
        <v>174</v>
      </c>
      <c r="F183" s="2" t="s">
        <v>165</v>
      </c>
      <c r="G183" s="2" t="n">
        <v>1</v>
      </c>
      <c r="H183" s="7" t="n">
        <v>13910</v>
      </c>
      <c r="I183" s="7" t="n">
        <f aca="false">IF(F183="Venta",G183*H183,0)</f>
        <v>0</v>
      </c>
      <c r="J183" s="2"/>
      <c r="K183" s="2" t="s">
        <v>167</v>
      </c>
      <c r="L183" s="2" t="s">
        <v>311</v>
      </c>
      <c r="M183" s="2" t="n">
        <v>12</v>
      </c>
    </row>
    <row r="184" customFormat="false" ht="15" hidden="false" customHeight="false" outlineLevel="0" collapsed="false">
      <c r="A184" s="6" t="n">
        <v>46364</v>
      </c>
      <c r="B184" s="2" t="s">
        <v>334</v>
      </c>
      <c r="C184" s="2" t="s">
        <v>130</v>
      </c>
      <c r="D184" s="2" t="s">
        <v>63</v>
      </c>
      <c r="E184" s="2" t="s">
        <v>174</v>
      </c>
      <c r="F184" s="2" t="s">
        <v>161</v>
      </c>
      <c r="G184" s="2" t="n">
        <v>1</v>
      </c>
      <c r="H184" s="7" t="n">
        <v>12519</v>
      </c>
      <c r="I184" s="7" t="n">
        <f aca="false">IF(F184="Venta",G184*H184,0)</f>
        <v>12519</v>
      </c>
      <c r="J184" s="2" t="s">
        <v>162</v>
      </c>
      <c r="K184" s="2" t="s">
        <v>167</v>
      </c>
      <c r="L184" s="2" t="s">
        <v>311</v>
      </c>
      <c r="M184" s="2" t="n">
        <v>12</v>
      </c>
    </row>
    <row r="185" customFormat="false" ht="15" hidden="false" customHeight="false" outlineLevel="0" collapsed="false">
      <c r="A185" s="6" t="n">
        <v>46366</v>
      </c>
      <c r="B185" s="2" t="s">
        <v>335</v>
      </c>
      <c r="C185" s="2" t="s">
        <v>131</v>
      </c>
      <c r="D185" s="2" t="s">
        <v>132</v>
      </c>
      <c r="E185" s="2" t="s">
        <v>160</v>
      </c>
      <c r="F185" s="2" t="s">
        <v>165</v>
      </c>
      <c r="G185" s="2" t="n">
        <v>1</v>
      </c>
      <c r="H185" s="7" t="n">
        <v>45810</v>
      </c>
      <c r="I185" s="7" t="n">
        <f aca="false">IF(F185="Venta",G185*H185,0)</f>
        <v>0</v>
      </c>
      <c r="J185" s="2"/>
      <c r="K185" s="2" t="s">
        <v>167</v>
      </c>
      <c r="L185" s="2" t="s">
        <v>311</v>
      </c>
      <c r="M185" s="2" t="n">
        <v>12</v>
      </c>
    </row>
    <row r="186" customFormat="false" ht="15" hidden="false" customHeight="false" outlineLevel="0" collapsed="false">
      <c r="A186" s="6" t="n">
        <v>46367</v>
      </c>
      <c r="B186" s="2" t="s">
        <v>336</v>
      </c>
      <c r="C186" s="2" t="s">
        <v>131</v>
      </c>
      <c r="D186" s="2" t="s">
        <v>132</v>
      </c>
      <c r="E186" s="2" t="s">
        <v>160</v>
      </c>
      <c r="F186" s="2" t="s">
        <v>161</v>
      </c>
      <c r="G186" s="2" t="n">
        <v>1</v>
      </c>
      <c r="H186" s="7" t="n">
        <v>41229</v>
      </c>
      <c r="I186" s="7" t="n">
        <f aca="false">IF(F186="Venta",G186*H186,0)</f>
        <v>41229</v>
      </c>
      <c r="J186" s="2" t="s">
        <v>162</v>
      </c>
      <c r="K186" s="2" t="s">
        <v>167</v>
      </c>
      <c r="L186" s="2" t="s">
        <v>311</v>
      </c>
      <c r="M186" s="2" t="n">
        <v>12</v>
      </c>
    </row>
    <row r="187" customFormat="false" ht="15" hidden="false" customHeight="false" outlineLevel="0" collapsed="false">
      <c r="A187" s="6" t="n">
        <v>46367</v>
      </c>
      <c r="B187" s="2" t="s">
        <v>325</v>
      </c>
      <c r="C187" s="2" t="s">
        <v>144</v>
      </c>
      <c r="D187" s="2" t="s">
        <v>145</v>
      </c>
      <c r="E187" s="2" t="s">
        <v>160</v>
      </c>
      <c r="F187" s="2" t="s">
        <v>165</v>
      </c>
      <c r="G187" s="2" t="n">
        <v>1</v>
      </c>
      <c r="H187" s="7" t="n">
        <v>22000</v>
      </c>
      <c r="I187" s="7" t="n">
        <f aca="false">IF(F187="Venta",G187*H187,0)</f>
        <v>0</v>
      </c>
      <c r="J187" s="2"/>
      <c r="K187" s="2" t="s">
        <v>167</v>
      </c>
      <c r="L187" s="2" t="s">
        <v>311</v>
      </c>
      <c r="M187" s="2" t="n">
        <v>12</v>
      </c>
    </row>
    <row r="188" customFormat="false" ht="15" hidden="false" customHeight="false" outlineLevel="0" collapsed="false">
      <c r="A188" s="6" t="n">
        <v>46367</v>
      </c>
      <c r="B188" s="2" t="s">
        <v>337</v>
      </c>
      <c r="C188" s="2" t="s">
        <v>134</v>
      </c>
      <c r="D188" s="2" t="s">
        <v>132</v>
      </c>
      <c r="E188" s="2" t="s">
        <v>160</v>
      </c>
      <c r="F188" s="2" t="s">
        <v>165</v>
      </c>
      <c r="G188" s="2" t="n">
        <v>1</v>
      </c>
      <c r="H188" s="7" t="n">
        <v>12810</v>
      </c>
      <c r="I188" s="7" t="n">
        <f aca="false">IF(F188="Venta",G188*H188,0)</f>
        <v>0</v>
      </c>
      <c r="J188" s="2"/>
      <c r="K188" s="2" t="s">
        <v>167</v>
      </c>
      <c r="L188" s="2" t="s">
        <v>311</v>
      </c>
      <c r="M188" s="2" t="n">
        <v>12</v>
      </c>
    </row>
    <row r="189" customFormat="false" ht="15" hidden="false" customHeight="false" outlineLevel="0" collapsed="false">
      <c r="A189" s="6" t="n">
        <v>46367</v>
      </c>
      <c r="B189" s="2" t="s">
        <v>188</v>
      </c>
      <c r="C189" s="2" t="s">
        <v>131</v>
      </c>
      <c r="D189" s="2" t="s">
        <v>132</v>
      </c>
      <c r="E189" s="2" t="s">
        <v>174</v>
      </c>
      <c r="F189" s="2" t="s">
        <v>165</v>
      </c>
      <c r="G189" s="2" t="n">
        <v>1</v>
      </c>
      <c r="H189" s="7" t="n">
        <v>45810</v>
      </c>
      <c r="I189" s="7" t="n">
        <f aca="false">IF(F189="Venta",G189*H189,0)</f>
        <v>0</v>
      </c>
      <c r="J189" s="2"/>
      <c r="K189" s="2" t="s">
        <v>167</v>
      </c>
      <c r="L189" s="2" t="s">
        <v>311</v>
      </c>
      <c r="M189" s="2" t="n">
        <v>12</v>
      </c>
    </row>
    <row r="190" customFormat="false" ht="15" hidden="false" customHeight="false" outlineLevel="0" collapsed="false">
      <c r="A190" s="6" t="n">
        <v>46368</v>
      </c>
      <c r="B190" s="2" t="s">
        <v>338</v>
      </c>
      <c r="C190" s="2" t="s">
        <v>138</v>
      </c>
      <c r="D190" s="2" t="s">
        <v>136</v>
      </c>
      <c r="E190" s="2" t="s">
        <v>160</v>
      </c>
      <c r="F190" s="2" t="s">
        <v>165</v>
      </c>
      <c r="G190" s="2" t="n">
        <v>1</v>
      </c>
      <c r="H190" s="7" t="n">
        <v>13200</v>
      </c>
      <c r="I190" s="7" t="n">
        <f aca="false">IF(F190="Venta",G190*H190,0)</f>
        <v>0</v>
      </c>
      <c r="J190" s="2"/>
      <c r="K190" s="2" t="s">
        <v>167</v>
      </c>
      <c r="L190" s="2" t="s">
        <v>311</v>
      </c>
      <c r="M190" s="2" t="n">
        <v>12</v>
      </c>
    </row>
    <row r="191" customFormat="false" ht="15" hidden="false" customHeight="false" outlineLevel="0" collapsed="false">
      <c r="A191" s="6" t="n">
        <v>46368</v>
      </c>
      <c r="B191" s="2" t="s">
        <v>122</v>
      </c>
      <c r="C191" s="2" t="s">
        <v>146</v>
      </c>
      <c r="D191" s="2" t="s">
        <v>145</v>
      </c>
      <c r="E191" s="2" t="s">
        <v>160</v>
      </c>
      <c r="F191" s="2" t="s">
        <v>165</v>
      </c>
      <c r="G191" s="2" t="n">
        <v>1</v>
      </c>
      <c r="H191" s="7" t="n">
        <v>28000</v>
      </c>
      <c r="I191" s="7" t="n">
        <f aca="false">IF(F191="Venta",G191*H191,0)</f>
        <v>0</v>
      </c>
      <c r="J191" s="2"/>
      <c r="K191" s="2" t="s">
        <v>167</v>
      </c>
      <c r="L191" s="2" t="s">
        <v>311</v>
      </c>
      <c r="M191" s="2" t="n">
        <v>12</v>
      </c>
    </row>
    <row r="192" customFormat="false" ht="15" hidden="false" customHeight="false" outlineLevel="0" collapsed="false">
      <c r="A192" s="6" t="n">
        <v>46369</v>
      </c>
      <c r="B192" s="2" t="s">
        <v>312</v>
      </c>
      <c r="C192" s="2" t="s">
        <v>131</v>
      </c>
      <c r="D192" s="2" t="s">
        <v>132</v>
      </c>
      <c r="E192" s="2" t="s">
        <v>160</v>
      </c>
      <c r="F192" s="2" t="s">
        <v>161</v>
      </c>
      <c r="G192" s="2" t="n">
        <v>1</v>
      </c>
      <c r="H192" s="7" t="n">
        <v>41229</v>
      </c>
      <c r="I192" s="7" t="n">
        <f aca="false">IF(F192="Venta",G192*H192,0)</f>
        <v>41229</v>
      </c>
      <c r="J192" s="2" t="s">
        <v>162</v>
      </c>
      <c r="K192" s="2" t="s">
        <v>167</v>
      </c>
      <c r="L192" s="2" t="s">
        <v>311</v>
      </c>
      <c r="M192" s="2" t="n">
        <v>12</v>
      </c>
    </row>
    <row r="193" customFormat="false" ht="15" hidden="false" customHeight="false" outlineLevel="0" collapsed="false">
      <c r="A193" s="6" t="n">
        <v>46369</v>
      </c>
      <c r="B193" s="2" t="s">
        <v>227</v>
      </c>
      <c r="C193" s="2" t="s">
        <v>140</v>
      </c>
      <c r="D193" s="2" t="s">
        <v>141</v>
      </c>
      <c r="E193" s="2" t="s">
        <v>160</v>
      </c>
      <c r="F193" s="2" t="s">
        <v>165</v>
      </c>
      <c r="G193" s="2" t="n">
        <v>1</v>
      </c>
      <c r="H193" s="7" t="n">
        <v>18310</v>
      </c>
      <c r="I193" s="7" t="n">
        <f aca="false">IF(F193="Venta",G193*H193,0)</f>
        <v>0</v>
      </c>
      <c r="J193" s="2"/>
      <c r="K193" s="2" t="s">
        <v>167</v>
      </c>
      <c r="L193" s="2" t="s">
        <v>311</v>
      </c>
      <c r="M193" s="2" t="n">
        <v>12</v>
      </c>
    </row>
    <row r="194" customFormat="false" ht="15" hidden="false" customHeight="false" outlineLevel="0" collapsed="false">
      <c r="A194" s="6" t="n">
        <v>46369</v>
      </c>
      <c r="B194" s="2" t="s">
        <v>339</v>
      </c>
      <c r="C194" s="2" t="s">
        <v>135</v>
      </c>
      <c r="D194" s="2" t="s">
        <v>136</v>
      </c>
      <c r="E194" s="2" t="s">
        <v>174</v>
      </c>
      <c r="F194" s="2" t="s">
        <v>165</v>
      </c>
      <c r="G194" s="2" t="n">
        <v>1</v>
      </c>
      <c r="H194" s="7" t="n">
        <v>15900</v>
      </c>
      <c r="I194" s="7" t="n">
        <f aca="false">IF(F194="Venta",G194*H194,0)</f>
        <v>0</v>
      </c>
      <c r="J194" s="2"/>
      <c r="K194" s="2" t="s">
        <v>167</v>
      </c>
      <c r="L194" s="2" t="s">
        <v>311</v>
      </c>
      <c r="M194" s="2" t="n">
        <v>12</v>
      </c>
    </row>
    <row r="195" customFormat="false" ht="15" hidden="false" customHeight="false" outlineLevel="0" collapsed="false">
      <c r="A195" s="6" t="n">
        <v>46369</v>
      </c>
      <c r="B195" s="2" t="s">
        <v>340</v>
      </c>
      <c r="C195" s="2" t="s">
        <v>138</v>
      </c>
      <c r="D195" s="2" t="s">
        <v>136</v>
      </c>
      <c r="E195" s="2" t="s">
        <v>160</v>
      </c>
      <c r="F195" s="2" t="s">
        <v>161</v>
      </c>
      <c r="G195" s="2" t="n">
        <v>1</v>
      </c>
      <c r="H195" s="7" t="n">
        <v>11880</v>
      </c>
      <c r="I195" s="7" t="n">
        <f aca="false">IF(F195="Venta",G195*H195,0)</f>
        <v>11880</v>
      </c>
      <c r="J195" s="2" t="s">
        <v>162</v>
      </c>
      <c r="K195" s="2" t="s">
        <v>167</v>
      </c>
      <c r="L195" s="2" t="s">
        <v>311</v>
      </c>
      <c r="M195" s="2" t="n">
        <v>12</v>
      </c>
    </row>
    <row r="196" customFormat="false" ht="15" hidden="false" customHeight="false" outlineLevel="0" collapsed="false">
      <c r="A196" s="6" t="n">
        <v>46370</v>
      </c>
      <c r="B196" s="2" t="s">
        <v>341</v>
      </c>
      <c r="C196" s="2" t="s">
        <v>137</v>
      </c>
      <c r="D196" s="2" t="s">
        <v>136</v>
      </c>
      <c r="E196" s="2" t="s">
        <v>160</v>
      </c>
      <c r="F196" s="2" t="s">
        <v>165</v>
      </c>
      <c r="G196" s="2" t="n">
        <v>1</v>
      </c>
      <c r="H196" s="7" t="n">
        <v>13200</v>
      </c>
      <c r="I196" s="7" t="n">
        <f aca="false">IF(F196="Venta",G196*H196,0)</f>
        <v>0</v>
      </c>
      <c r="J196" s="2"/>
      <c r="K196" s="2" t="s">
        <v>167</v>
      </c>
      <c r="L196" s="2" t="s">
        <v>311</v>
      </c>
      <c r="M196" s="2" t="n">
        <v>12</v>
      </c>
    </row>
    <row r="197" customFormat="false" ht="15" hidden="false" customHeight="false" outlineLevel="0" collapsed="false">
      <c r="A197" s="6" t="n">
        <v>46370</v>
      </c>
      <c r="B197" s="2" t="s">
        <v>342</v>
      </c>
      <c r="C197" s="2" t="s">
        <v>150</v>
      </c>
      <c r="D197" s="2" t="s">
        <v>145</v>
      </c>
      <c r="E197" s="2" t="s">
        <v>160</v>
      </c>
      <c r="F197" s="2" t="s">
        <v>165</v>
      </c>
      <c r="G197" s="2" t="n">
        <v>1</v>
      </c>
      <c r="H197" s="7" t="n">
        <v>24200</v>
      </c>
      <c r="I197" s="7" t="n">
        <f aca="false">IF(F197="Venta",G197*H197,0)</f>
        <v>0</v>
      </c>
      <c r="J197" s="2"/>
      <c r="K197" s="2" t="s">
        <v>167</v>
      </c>
      <c r="L197" s="2" t="s">
        <v>311</v>
      </c>
      <c r="M197" s="2" t="n">
        <v>12</v>
      </c>
    </row>
    <row r="198" customFormat="false" ht="15" hidden="false" customHeight="false" outlineLevel="0" collapsed="false">
      <c r="A198" s="6" t="n">
        <v>46371</v>
      </c>
      <c r="B198" s="2" t="s">
        <v>343</v>
      </c>
      <c r="C198" s="2" t="s">
        <v>143</v>
      </c>
      <c r="D198" s="2" t="s">
        <v>141</v>
      </c>
      <c r="E198" s="2" t="s">
        <v>160</v>
      </c>
      <c r="F198" s="2" t="s">
        <v>165</v>
      </c>
      <c r="G198" s="2" t="n">
        <v>1</v>
      </c>
      <c r="H198" s="7" t="n">
        <v>15100</v>
      </c>
      <c r="I198" s="7" t="n">
        <f aca="false">IF(F198="Venta",G198*H198,0)</f>
        <v>0</v>
      </c>
      <c r="J198" s="2"/>
      <c r="K198" s="2" t="s">
        <v>167</v>
      </c>
      <c r="L198" s="2" t="s">
        <v>311</v>
      </c>
      <c r="M198" s="2" t="n">
        <v>12</v>
      </c>
    </row>
    <row r="199" customFormat="false" ht="15" hidden="false" customHeight="false" outlineLevel="0" collapsed="false">
      <c r="A199" s="6" t="n">
        <v>46371</v>
      </c>
      <c r="B199" s="2" t="s">
        <v>344</v>
      </c>
      <c r="C199" s="2" t="s">
        <v>139</v>
      </c>
      <c r="D199" s="2" t="s">
        <v>57</v>
      </c>
      <c r="E199" s="2" t="s">
        <v>160</v>
      </c>
      <c r="F199" s="2" t="s">
        <v>165</v>
      </c>
      <c r="G199" s="2" t="n">
        <v>1</v>
      </c>
      <c r="H199" s="7" t="n">
        <v>12810</v>
      </c>
      <c r="I199" s="7" t="n">
        <f aca="false">IF(F199="Venta",G199*H199,0)</f>
        <v>0</v>
      </c>
      <c r="J199" s="2"/>
      <c r="K199" s="2" t="s">
        <v>167</v>
      </c>
      <c r="L199" s="2" t="s">
        <v>311</v>
      </c>
      <c r="M199" s="2" t="n">
        <v>12</v>
      </c>
    </row>
    <row r="200" customFormat="false" ht="15" hidden="false" customHeight="false" outlineLevel="0" collapsed="false">
      <c r="A200" s="6" t="n">
        <v>46372</v>
      </c>
      <c r="B200" s="2" t="s">
        <v>345</v>
      </c>
      <c r="C200" s="2" t="s">
        <v>138</v>
      </c>
      <c r="D200" s="2" t="s">
        <v>136</v>
      </c>
      <c r="E200" s="2" t="s">
        <v>160</v>
      </c>
      <c r="F200" s="2" t="s">
        <v>165</v>
      </c>
      <c r="G200" s="2" t="n">
        <v>1</v>
      </c>
      <c r="H200" s="7" t="n">
        <v>13200</v>
      </c>
      <c r="I200" s="7" t="n">
        <f aca="false">IF(F200="Venta",G200*H200,0)</f>
        <v>0</v>
      </c>
      <c r="J200" s="2"/>
      <c r="K200" s="2" t="s">
        <v>167</v>
      </c>
      <c r="L200" s="2" t="s">
        <v>311</v>
      </c>
      <c r="M200" s="2" t="n">
        <v>12</v>
      </c>
    </row>
    <row r="201" customFormat="false" ht="15" hidden="false" customHeight="false" outlineLevel="0" collapsed="false">
      <c r="A201" s="6" t="n">
        <v>46372</v>
      </c>
      <c r="B201" s="2" t="s">
        <v>300</v>
      </c>
      <c r="C201" s="2" t="s">
        <v>140</v>
      </c>
      <c r="D201" s="2" t="s">
        <v>141</v>
      </c>
      <c r="E201" s="2" t="s">
        <v>160</v>
      </c>
      <c r="F201" s="2" t="s">
        <v>165</v>
      </c>
      <c r="G201" s="2" t="n">
        <v>1</v>
      </c>
      <c r="H201" s="7" t="n">
        <v>18310</v>
      </c>
      <c r="I201" s="7" t="n">
        <f aca="false">IF(F201="Venta",G201*H201,0)</f>
        <v>0</v>
      </c>
      <c r="J201" s="2"/>
      <c r="K201" s="2" t="s">
        <v>167</v>
      </c>
      <c r="L201" s="2" t="s">
        <v>311</v>
      </c>
      <c r="M201" s="2" t="n">
        <v>12</v>
      </c>
    </row>
    <row r="202" customFormat="false" ht="15" hidden="false" customHeight="false" outlineLevel="0" collapsed="false">
      <c r="A202" s="6" t="n">
        <v>46372</v>
      </c>
      <c r="B202" s="2" t="s">
        <v>276</v>
      </c>
      <c r="C202" s="2" t="s">
        <v>133</v>
      </c>
      <c r="D202" s="2" t="s">
        <v>132</v>
      </c>
      <c r="E202" s="2" t="s">
        <v>160</v>
      </c>
      <c r="F202" s="2" t="s">
        <v>165</v>
      </c>
      <c r="G202" s="2" t="n">
        <v>1</v>
      </c>
      <c r="H202" s="7" t="n">
        <v>45810</v>
      </c>
      <c r="I202" s="7" t="n">
        <f aca="false">IF(F202="Venta",G202*H202,0)</f>
        <v>0</v>
      </c>
      <c r="J202" s="2"/>
      <c r="K202" s="2" t="s">
        <v>167</v>
      </c>
      <c r="L202" s="2" t="s">
        <v>311</v>
      </c>
      <c r="M202" s="2" t="n">
        <v>12</v>
      </c>
    </row>
    <row r="203" customFormat="false" ht="15" hidden="false" customHeight="false" outlineLevel="0" collapsed="false">
      <c r="A203" s="6" t="n">
        <v>46372</v>
      </c>
      <c r="B203" s="2" t="s">
        <v>332</v>
      </c>
      <c r="C203" s="2" t="s">
        <v>128</v>
      </c>
      <c r="D203" s="2" t="s">
        <v>63</v>
      </c>
      <c r="E203" s="2" t="s">
        <v>174</v>
      </c>
      <c r="F203" s="2" t="s">
        <v>165</v>
      </c>
      <c r="G203" s="2" t="n">
        <v>1</v>
      </c>
      <c r="H203" s="7" t="n">
        <v>13910</v>
      </c>
      <c r="I203" s="7" t="n">
        <f aca="false">IF(F203="Venta",G203*H203,0)</f>
        <v>0</v>
      </c>
      <c r="J203" s="2"/>
      <c r="K203" s="2" t="s">
        <v>167</v>
      </c>
      <c r="L203" s="2" t="s">
        <v>311</v>
      </c>
      <c r="M203" s="2" t="n">
        <v>12</v>
      </c>
    </row>
    <row r="204" customFormat="false" ht="15" hidden="false" customHeight="false" outlineLevel="0" collapsed="false">
      <c r="A204" s="6" t="n">
        <v>46373</v>
      </c>
      <c r="B204" s="2" t="s">
        <v>346</v>
      </c>
      <c r="C204" s="2" t="s">
        <v>140</v>
      </c>
      <c r="D204" s="2" t="s">
        <v>141</v>
      </c>
      <c r="E204" s="2" t="s">
        <v>160</v>
      </c>
      <c r="F204" s="2" t="s">
        <v>161</v>
      </c>
      <c r="G204" s="2" t="n">
        <v>1</v>
      </c>
      <c r="H204" s="7" t="n">
        <v>16479</v>
      </c>
      <c r="I204" s="7" t="n">
        <f aca="false">IF(F204="Venta",G204*H204,0)</f>
        <v>16479</v>
      </c>
      <c r="J204" s="2" t="s">
        <v>162</v>
      </c>
      <c r="K204" s="2" t="s">
        <v>167</v>
      </c>
      <c r="L204" s="2" t="s">
        <v>311</v>
      </c>
      <c r="M204" s="2" t="n">
        <v>12</v>
      </c>
    </row>
    <row r="205" customFormat="false" ht="15" hidden="false" customHeight="false" outlineLevel="0" collapsed="false">
      <c r="A205" s="6" t="n">
        <v>46373</v>
      </c>
      <c r="B205" s="2" t="s">
        <v>347</v>
      </c>
      <c r="C205" s="2" t="s">
        <v>139</v>
      </c>
      <c r="D205" s="2" t="s">
        <v>57</v>
      </c>
      <c r="E205" s="2" t="s">
        <v>160</v>
      </c>
      <c r="F205" s="2" t="s">
        <v>165</v>
      </c>
      <c r="G205" s="2" t="n">
        <v>1</v>
      </c>
      <c r="H205" s="7" t="n">
        <v>12810</v>
      </c>
      <c r="I205" s="7" t="n">
        <f aca="false">IF(F205="Venta",G205*H205,0)</f>
        <v>0</v>
      </c>
      <c r="J205" s="2"/>
      <c r="K205" s="2" t="s">
        <v>167</v>
      </c>
      <c r="L205" s="2" t="s">
        <v>311</v>
      </c>
      <c r="M205" s="2" t="n">
        <v>12</v>
      </c>
    </row>
    <row r="206" customFormat="false" ht="15" hidden="false" customHeight="false" outlineLevel="0" collapsed="false">
      <c r="A206" s="6" t="n">
        <v>46373</v>
      </c>
      <c r="B206" s="2" t="s">
        <v>348</v>
      </c>
      <c r="C206" s="2" t="s">
        <v>146</v>
      </c>
      <c r="D206" s="2" t="s">
        <v>145</v>
      </c>
      <c r="E206" s="2" t="s">
        <v>160</v>
      </c>
      <c r="F206" s="2" t="s">
        <v>165</v>
      </c>
      <c r="G206" s="2" t="n">
        <v>1</v>
      </c>
      <c r="H206" s="7" t="n">
        <v>28000</v>
      </c>
      <c r="I206" s="7" t="n">
        <f aca="false">IF(F206="Venta",G206*H206,0)</f>
        <v>0</v>
      </c>
      <c r="J206" s="2"/>
      <c r="K206" s="2" t="s">
        <v>167</v>
      </c>
      <c r="L206" s="2" t="s">
        <v>311</v>
      </c>
      <c r="M206" s="2" t="n">
        <v>12</v>
      </c>
    </row>
    <row r="207" customFormat="false" ht="15" hidden="false" customHeight="false" outlineLevel="0" collapsed="false">
      <c r="A207" s="6" t="n">
        <v>46373</v>
      </c>
      <c r="B207" s="2" t="s">
        <v>301</v>
      </c>
      <c r="C207" s="2" t="s">
        <v>128</v>
      </c>
      <c r="D207" s="2" t="s">
        <v>63</v>
      </c>
      <c r="E207" s="2" t="s">
        <v>174</v>
      </c>
      <c r="F207" s="2" t="s">
        <v>161</v>
      </c>
      <c r="G207" s="2" t="n">
        <v>1</v>
      </c>
      <c r="H207" s="7" t="n">
        <v>13910</v>
      </c>
      <c r="I207" s="7" t="n">
        <f aca="false">IF(F207="Venta",G207*H207,0)</f>
        <v>13910</v>
      </c>
      <c r="J207" s="2" t="s">
        <v>179</v>
      </c>
      <c r="K207" s="2" t="s">
        <v>167</v>
      </c>
      <c r="L207" s="2" t="s">
        <v>311</v>
      </c>
      <c r="M207" s="2" t="n">
        <v>12</v>
      </c>
    </row>
    <row r="208" customFormat="false" ht="15" hidden="false" customHeight="false" outlineLevel="0" collapsed="false">
      <c r="A208" s="6" t="n">
        <v>46373</v>
      </c>
      <c r="B208" s="2" t="s">
        <v>349</v>
      </c>
      <c r="C208" s="2" t="s">
        <v>139</v>
      </c>
      <c r="D208" s="2" t="s">
        <v>57</v>
      </c>
      <c r="E208" s="2" t="s">
        <v>160</v>
      </c>
      <c r="F208" s="2" t="s">
        <v>161</v>
      </c>
      <c r="G208" s="2" t="n">
        <v>2</v>
      </c>
      <c r="H208" s="7" t="n">
        <v>11529</v>
      </c>
      <c r="I208" s="7" t="n">
        <f aca="false">IF(F208="Venta",G208*H208,0)</f>
        <v>23058</v>
      </c>
      <c r="J208" s="2" t="s">
        <v>162</v>
      </c>
      <c r="K208" s="2" t="s">
        <v>167</v>
      </c>
      <c r="L208" s="2" t="s">
        <v>311</v>
      </c>
      <c r="M208" s="2" t="n">
        <v>12</v>
      </c>
    </row>
    <row r="209" customFormat="false" ht="15" hidden="false" customHeight="false" outlineLevel="0" collapsed="false">
      <c r="A209" s="6" t="n">
        <v>46374</v>
      </c>
      <c r="B209" s="2" t="s">
        <v>350</v>
      </c>
      <c r="C209" s="2" t="s">
        <v>139</v>
      </c>
      <c r="D209" s="2" t="s">
        <v>57</v>
      </c>
      <c r="E209" s="2" t="s">
        <v>174</v>
      </c>
      <c r="F209" s="2" t="s">
        <v>165</v>
      </c>
      <c r="G209" s="2" t="n">
        <v>1</v>
      </c>
      <c r="H209" s="7" t="n">
        <v>12810</v>
      </c>
      <c r="I209" s="7" t="n">
        <f aca="false">IF(F209="Venta",G209*H209,0)</f>
        <v>0</v>
      </c>
      <c r="J209" s="2"/>
      <c r="K209" s="2" t="s">
        <v>167</v>
      </c>
      <c r="L209" s="2" t="s">
        <v>311</v>
      </c>
      <c r="M209" s="2" t="n">
        <v>12</v>
      </c>
    </row>
    <row r="210" customFormat="false" ht="15" hidden="false" customHeight="false" outlineLevel="0" collapsed="false">
      <c r="A210" s="6" t="n">
        <v>46374</v>
      </c>
      <c r="B210" s="2" t="s">
        <v>351</v>
      </c>
      <c r="C210" s="2" t="s">
        <v>139</v>
      </c>
      <c r="D210" s="2" t="s">
        <v>57</v>
      </c>
      <c r="E210" s="2" t="s">
        <v>160</v>
      </c>
      <c r="F210" s="2" t="s">
        <v>165</v>
      </c>
      <c r="G210" s="2" t="n">
        <v>1</v>
      </c>
      <c r="H210" s="7" t="n">
        <v>12810</v>
      </c>
      <c r="I210" s="7" t="n">
        <f aca="false">IF(F210="Venta",G210*H210,0)</f>
        <v>0</v>
      </c>
      <c r="J210" s="2"/>
      <c r="K210" s="2" t="s">
        <v>167</v>
      </c>
      <c r="L210" s="2" t="s">
        <v>311</v>
      </c>
      <c r="M210" s="2" t="n">
        <v>12</v>
      </c>
    </row>
    <row r="211" customFormat="false" ht="15" hidden="false" customHeight="false" outlineLevel="0" collapsed="false">
      <c r="A211" s="6" t="n">
        <v>46374</v>
      </c>
      <c r="B211" s="2" t="s">
        <v>352</v>
      </c>
      <c r="C211" s="2" t="s">
        <v>128</v>
      </c>
      <c r="D211" s="2" t="s">
        <v>63</v>
      </c>
      <c r="E211" s="2" t="s">
        <v>160</v>
      </c>
      <c r="F211" s="2" t="s">
        <v>165</v>
      </c>
      <c r="G211" s="2" t="n">
        <v>1</v>
      </c>
      <c r="H211" s="7" t="n">
        <v>13910</v>
      </c>
      <c r="I211" s="7" t="n">
        <f aca="false">IF(F211="Venta",G211*H211,0)</f>
        <v>0</v>
      </c>
      <c r="J211" s="2"/>
      <c r="K211" s="2" t="s">
        <v>167</v>
      </c>
      <c r="L211" s="2" t="s">
        <v>311</v>
      </c>
      <c r="M211" s="2" t="n">
        <v>12</v>
      </c>
    </row>
    <row r="212" customFormat="false" ht="15" hidden="false" customHeight="false" outlineLevel="0" collapsed="false">
      <c r="A212" s="6" t="n">
        <v>46375</v>
      </c>
      <c r="B212" s="2" t="s">
        <v>353</v>
      </c>
      <c r="C212" s="2" t="s">
        <v>130</v>
      </c>
      <c r="D212" s="2" t="s">
        <v>63</v>
      </c>
      <c r="E212" s="2" t="s">
        <v>160</v>
      </c>
      <c r="F212" s="2" t="s">
        <v>165</v>
      </c>
      <c r="G212" s="2" t="n">
        <v>1</v>
      </c>
      <c r="H212" s="7" t="n">
        <v>13910</v>
      </c>
      <c r="I212" s="7" t="n">
        <f aca="false">IF(F212="Venta",G212*H212,0)</f>
        <v>0</v>
      </c>
      <c r="J212" s="2"/>
      <c r="K212" s="2" t="s">
        <v>167</v>
      </c>
      <c r="L212" s="2" t="s">
        <v>311</v>
      </c>
      <c r="M212" s="2" t="n">
        <v>12</v>
      </c>
    </row>
    <row r="213" customFormat="false" ht="15" hidden="false" customHeight="false" outlineLevel="0" collapsed="false">
      <c r="A213" s="6" t="n">
        <v>46375</v>
      </c>
      <c r="B213" s="2" t="s">
        <v>354</v>
      </c>
      <c r="C213" s="2" t="s">
        <v>149</v>
      </c>
      <c r="D213" s="2" t="s">
        <v>145</v>
      </c>
      <c r="E213" s="2" t="s">
        <v>174</v>
      </c>
      <c r="F213" s="2" t="s">
        <v>165</v>
      </c>
      <c r="G213" s="2" t="n">
        <v>1</v>
      </c>
      <c r="H213" s="7" t="n">
        <v>27000</v>
      </c>
      <c r="I213" s="7" t="n">
        <f aca="false">IF(F213="Venta",G213*H213,0)</f>
        <v>0</v>
      </c>
      <c r="J213" s="2"/>
      <c r="K213" s="2" t="s">
        <v>167</v>
      </c>
      <c r="L213" s="2" t="s">
        <v>311</v>
      </c>
      <c r="M213" s="2" t="n">
        <v>12</v>
      </c>
    </row>
    <row r="214" customFormat="false" ht="15" hidden="false" customHeight="false" outlineLevel="0" collapsed="false">
      <c r="A214" s="6" t="n">
        <v>46375</v>
      </c>
      <c r="B214" s="2" t="s">
        <v>288</v>
      </c>
      <c r="C214" s="2" t="s">
        <v>140</v>
      </c>
      <c r="D214" s="2" t="s">
        <v>141</v>
      </c>
      <c r="E214" s="2" t="s">
        <v>160</v>
      </c>
      <c r="F214" s="2" t="s">
        <v>165</v>
      </c>
      <c r="G214" s="2" t="n">
        <v>1</v>
      </c>
      <c r="H214" s="7" t="n">
        <v>18310</v>
      </c>
      <c r="I214" s="7" t="n">
        <f aca="false">IF(F214="Venta",G214*H214,0)</f>
        <v>0</v>
      </c>
      <c r="J214" s="2"/>
      <c r="K214" s="2" t="s">
        <v>167</v>
      </c>
      <c r="L214" s="2" t="s">
        <v>311</v>
      </c>
      <c r="M214" s="2" t="n">
        <v>12</v>
      </c>
    </row>
    <row r="215" customFormat="false" ht="15" hidden="false" customHeight="false" outlineLevel="0" collapsed="false">
      <c r="A215" s="6" t="n">
        <v>46375</v>
      </c>
      <c r="B215" s="2" t="s">
        <v>181</v>
      </c>
      <c r="C215" s="2" t="s">
        <v>146</v>
      </c>
      <c r="D215" s="2" t="s">
        <v>145</v>
      </c>
      <c r="E215" s="2" t="s">
        <v>174</v>
      </c>
      <c r="F215" s="2" t="s">
        <v>161</v>
      </c>
      <c r="G215" s="2" t="n">
        <v>1</v>
      </c>
      <c r="H215" s="7" t="n">
        <v>28000</v>
      </c>
      <c r="I215" s="7" t="n">
        <f aca="false">IF(F215="Venta",G215*H215,0)</f>
        <v>28000</v>
      </c>
      <c r="J215" s="2" t="s">
        <v>179</v>
      </c>
      <c r="K215" s="2" t="s">
        <v>167</v>
      </c>
      <c r="L215" s="2" t="s">
        <v>311</v>
      </c>
      <c r="M215" s="2" t="n">
        <v>12</v>
      </c>
    </row>
    <row r="216" customFormat="false" ht="15" hidden="false" customHeight="false" outlineLevel="0" collapsed="false">
      <c r="A216" s="6" t="n">
        <v>46377</v>
      </c>
      <c r="B216" s="2" t="s">
        <v>355</v>
      </c>
      <c r="C216" s="2" t="s">
        <v>128</v>
      </c>
      <c r="D216" s="2" t="s">
        <v>63</v>
      </c>
      <c r="E216" s="2" t="s">
        <v>174</v>
      </c>
      <c r="F216" s="2" t="s">
        <v>161</v>
      </c>
      <c r="G216" s="2" t="n">
        <v>1</v>
      </c>
      <c r="H216" s="7" t="n">
        <v>12519</v>
      </c>
      <c r="I216" s="7" t="n">
        <f aca="false">IF(F216="Venta",G216*H216,0)</f>
        <v>12519</v>
      </c>
      <c r="J216" s="2" t="s">
        <v>162</v>
      </c>
      <c r="K216" s="2" t="s">
        <v>167</v>
      </c>
      <c r="L216" s="2" t="s">
        <v>311</v>
      </c>
      <c r="M216" s="2" t="n">
        <v>12</v>
      </c>
    </row>
    <row r="217" customFormat="false" ht="15" hidden="false" customHeight="false" outlineLevel="0" collapsed="false">
      <c r="A217" s="6" t="n">
        <v>46377</v>
      </c>
      <c r="B217" s="2" t="s">
        <v>356</v>
      </c>
      <c r="C217" s="2" t="s">
        <v>139</v>
      </c>
      <c r="D217" s="2" t="s">
        <v>57</v>
      </c>
      <c r="E217" s="2" t="s">
        <v>160</v>
      </c>
      <c r="F217" s="2" t="s">
        <v>161</v>
      </c>
      <c r="G217" s="2" t="n">
        <v>1</v>
      </c>
      <c r="H217" s="7" t="n">
        <v>11529</v>
      </c>
      <c r="I217" s="7" t="n">
        <f aca="false">IF(F217="Venta",G217*H217,0)</f>
        <v>11529</v>
      </c>
      <c r="J217" s="2" t="s">
        <v>162</v>
      </c>
      <c r="K217" s="2" t="s">
        <v>167</v>
      </c>
      <c r="L217" s="2" t="s">
        <v>311</v>
      </c>
      <c r="M217" s="2" t="n">
        <v>12</v>
      </c>
    </row>
    <row r="218" customFormat="false" ht="15" hidden="false" customHeight="false" outlineLevel="0" collapsed="false">
      <c r="A218" s="6" t="n">
        <v>46377</v>
      </c>
      <c r="B218" s="2" t="s">
        <v>357</v>
      </c>
      <c r="C218" s="2" t="s">
        <v>128</v>
      </c>
      <c r="D218" s="2" t="s">
        <v>63</v>
      </c>
      <c r="E218" s="2" t="s">
        <v>160</v>
      </c>
      <c r="F218" s="2" t="s">
        <v>165</v>
      </c>
      <c r="G218" s="2" t="n">
        <v>1</v>
      </c>
      <c r="H218" s="7" t="n">
        <v>13910</v>
      </c>
      <c r="I218" s="7" t="n">
        <f aca="false">IF(F218="Venta",G218*H218,0)</f>
        <v>0</v>
      </c>
      <c r="J218" s="2"/>
      <c r="K218" s="2" t="s">
        <v>167</v>
      </c>
      <c r="L218" s="2" t="s">
        <v>311</v>
      </c>
      <c r="M218" s="2" t="n">
        <v>12</v>
      </c>
    </row>
    <row r="219" customFormat="false" ht="15" hidden="false" customHeight="false" outlineLevel="0" collapsed="false">
      <c r="A219" s="6" t="n">
        <v>46378</v>
      </c>
      <c r="B219" s="2" t="s">
        <v>358</v>
      </c>
      <c r="C219" s="2" t="s">
        <v>144</v>
      </c>
      <c r="D219" s="2" t="s">
        <v>145</v>
      </c>
      <c r="E219" s="2" t="s">
        <v>160</v>
      </c>
      <c r="F219" s="2" t="s">
        <v>165</v>
      </c>
      <c r="G219" s="2" t="n">
        <v>1</v>
      </c>
      <c r="H219" s="7" t="n">
        <v>22000</v>
      </c>
      <c r="I219" s="7" t="n">
        <f aca="false">IF(F219="Venta",G219*H219,0)</f>
        <v>0</v>
      </c>
      <c r="J219" s="2"/>
      <c r="K219" s="2" t="s">
        <v>167</v>
      </c>
      <c r="L219" s="2" t="s">
        <v>311</v>
      </c>
      <c r="M219" s="2" t="n">
        <v>12</v>
      </c>
    </row>
    <row r="220" customFormat="false" ht="15" hidden="false" customHeight="false" outlineLevel="0" collapsed="false">
      <c r="A220" s="6" t="n">
        <v>46378</v>
      </c>
      <c r="B220" s="2" t="s">
        <v>359</v>
      </c>
      <c r="C220" s="2" t="s">
        <v>131</v>
      </c>
      <c r="D220" s="2" t="s">
        <v>132</v>
      </c>
      <c r="E220" s="2" t="s">
        <v>160</v>
      </c>
      <c r="F220" s="2" t="s">
        <v>165</v>
      </c>
      <c r="G220" s="2" t="n">
        <v>1</v>
      </c>
      <c r="H220" s="7" t="n">
        <v>45810</v>
      </c>
      <c r="I220" s="7" t="n">
        <f aca="false">IF(F220="Venta",G220*H220,0)</f>
        <v>0</v>
      </c>
      <c r="J220" s="2"/>
      <c r="K220" s="2" t="s">
        <v>167</v>
      </c>
      <c r="L220" s="2" t="s">
        <v>311</v>
      </c>
      <c r="M220" s="2" t="n">
        <v>12</v>
      </c>
    </row>
    <row r="221" customFormat="false" ht="15" hidden="false" customHeight="false" outlineLevel="0" collapsed="false">
      <c r="A221" s="6" t="n">
        <v>46378</v>
      </c>
      <c r="B221" s="2" t="s">
        <v>360</v>
      </c>
      <c r="C221" s="2" t="s">
        <v>149</v>
      </c>
      <c r="D221" s="2" t="s">
        <v>145</v>
      </c>
      <c r="E221" s="2" t="s">
        <v>160</v>
      </c>
      <c r="F221" s="2" t="s">
        <v>161</v>
      </c>
      <c r="G221" s="2" t="n">
        <v>1</v>
      </c>
      <c r="H221" s="7" t="n">
        <v>24300</v>
      </c>
      <c r="I221" s="7" t="n">
        <f aca="false">IF(F221="Venta",G221*H221,0)</f>
        <v>24300</v>
      </c>
      <c r="J221" s="2" t="s">
        <v>162</v>
      </c>
      <c r="K221" s="2" t="s">
        <v>167</v>
      </c>
      <c r="L221" s="2" t="s">
        <v>311</v>
      </c>
      <c r="M221" s="2" t="n">
        <v>12</v>
      </c>
    </row>
    <row r="222" customFormat="false" ht="15" hidden="false" customHeight="false" outlineLevel="0" collapsed="false">
      <c r="A222" s="6" t="n">
        <v>46378</v>
      </c>
      <c r="B222" s="2" t="s">
        <v>361</v>
      </c>
      <c r="C222" s="2" t="s">
        <v>144</v>
      </c>
      <c r="D222" s="2" t="s">
        <v>145</v>
      </c>
      <c r="E222" s="2" t="s">
        <v>160</v>
      </c>
      <c r="F222" s="2" t="s">
        <v>165</v>
      </c>
      <c r="G222" s="2" t="n">
        <v>1</v>
      </c>
      <c r="H222" s="7" t="n">
        <v>22000</v>
      </c>
      <c r="I222" s="7" t="n">
        <f aca="false">IF(F222="Venta",G222*H222,0)</f>
        <v>0</v>
      </c>
      <c r="J222" s="2"/>
      <c r="K222" s="2" t="s">
        <v>167</v>
      </c>
      <c r="L222" s="2" t="s">
        <v>311</v>
      </c>
      <c r="M222" s="2" t="n">
        <v>12</v>
      </c>
    </row>
    <row r="223" customFormat="false" ht="15" hidden="false" customHeight="false" outlineLevel="0" collapsed="false">
      <c r="A223" s="6" t="n">
        <v>46378</v>
      </c>
      <c r="B223" s="2" t="s">
        <v>362</v>
      </c>
      <c r="C223" s="2" t="s">
        <v>131</v>
      </c>
      <c r="D223" s="2" t="s">
        <v>132</v>
      </c>
      <c r="E223" s="2" t="s">
        <v>160</v>
      </c>
      <c r="F223" s="2" t="s">
        <v>165</v>
      </c>
      <c r="G223" s="2" t="n">
        <v>1</v>
      </c>
      <c r="H223" s="7" t="n">
        <v>45810</v>
      </c>
      <c r="I223" s="7" t="n">
        <f aca="false">IF(F223="Venta",G223*H223,0)</f>
        <v>0</v>
      </c>
      <c r="J223" s="2"/>
      <c r="K223" s="2" t="s">
        <v>167</v>
      </c>
      <c r="L223" s="2" t="s">
        <v>311</v>
      </c>
      <c r="M223" s="2" t="n">
        <v>12</v>
      </c>
    </row>
    <row r="224" customFormat="false" ht="15" hidden="false" customHeight="false" outlineLevel="0" collapsed="false">
      <c r="A224" s="6" t="n">
        <v>46380</v>
      </c>
      <c r="B224" s="2" t="s">
        <v>363</v>
      </c>
      <c r="C224" s="2" t="s">
        <v>149</v>
      </c>
      <c r="D224" s="2" t="s">
        <v>145</v>
      </c>
      <c r="E224" s="2" t="s">
        <v>160</v>
      </c>
      <c r="F224" s="2" t="s">
        <v>165</v>
      </c>
      <c r="G224" s="2" t="n">
        <v>1</v>
      </c>
      <c r="H224" s="7" t="n">
        <v>27000</v>
      </c>
      <c r="I224" s="7" t="n">
        <f aca="false">IF(F224="Venta",G224*H224,0)</f>
        <v>0</v>
      </c>
      <c r="J224" s="2"/>
      <c r="K224" s="2" t="s">
        <v>167</v>
      </c>
      <c r="L224" s="2" t="s">
        <v>311</v>
      </c>
      <c r="M224" s="2" t="n">
        <v>12</v>
      </c>
    </row>
    <row r="225" customFormat="false" ht="15" hidden="false" customHeight="false" outlineLevel="0" collapsed="false">
      <c r="A225" s="6" t="n">
        <v>46381</v>
      </c>
      <c r="B225" s="2" t="s">
        <v>364</v>
      </c>
      <c r="C225" s="2" t="s">
        <v>133</v>
      </c>
      <c r="D225" s="2" t="s">
        <v>132</v>
      </c>
      <c r="E225" s="2" t="s">
        <v>174</v>
      </c>
      <c r="F225" s="2" t="s">
        <v>165</v>
      </c>
      <c r="G225" s="2" t="n">
        <v>1</v>
      </c>
      <c r="H225" s="7" t="n">
        <v>45810</v>
      </c>
      <c r="I225" s="7" t="n">
        <f aca="false">IF(F225="Venta",G225*H225,0)</f>
        <v>0</v>
      </c>
      <c r="J225" s="2"/>
      <c r="K225" s="2" t="s">
        <v>167</v>
      </c>
      <c r="L225" s="2" t="s">
        <v>311</v>
      </c>
      <c r="M225" s="2" t="n">
        <v>12</v>
      </c>
    </row>
    <row r="226" customFormat="false" ht="15" hidden="false" customHeight="false" outlineLevel="0" collapsed="false">
      <c r="A226" s="6" t="n">
        <v>46381</v>
      </c>
      <c r="B226" s="2" t="s">
        <v>365</v>
      </c>
      <c r="C226" s="2" t="s">
        <v>147</v>
      </c>
      <c r="D226" s="2" t="s">
        <v>145</v>
      </c>
      <c r="E226" s="2" t="s">
        <v>160</v>
      </c>
      <c r="F226" s="2" t="s">
        <v>165</v>
      </c>
      <c r="G226" s="2" t="n">
        <v>1</v>
      </c>
      <c r="H226" s="7" t="n">
        <v>19900</v>
      </c>
      <c r="I226" s="7" t="n">
        <f aca="false">IF(F226="Venta",G226*H226,0)</f>
        <v>0</v>
      </c>
      <c r="J226" s="2"/>
      <c r="K226" s="2" t="s">
        <v>167</v>
      </c>
      <c r="L226" s="2" t="s">
        <v>311</v>
      </c>
      <c r="M226" s="2" t="n">
        <v>12</v>
      </c>
    </row>
    <row r="227" customFormat="false" ht="15" hidden="false" customHeight="false" outlineLevel="0" collapsed="false">
      <c r="A227" s="6" t="n">
        <v>46381</v>
      </c>
      <c r="B227" s="2" t="s">
        <v>366</v>
      </c>
      <c r="C227" s="2" t="s">
        <v>135</v>
      </c>
      <c r="D227" s="2" t="s">
        <v>136</v>
      </c>
      <c r="E227" s="2" t="s">
        <v>172</v>
      </c>
      <c r="F227" s="2" t="s">
        <v>165</v>
      </c>
      <c r="G227" s="2" t="n">
        <v>1</v>
      </c>
      <c r="H227" s="7" t="n">
        <v>15900</v>
      </c>
      <c r="I227" s="7" t="n">
        <f aca="false">IF(F227="Venta",G227*H227,0)</f>
        <v>0</v>
      </c>
      <c r="J227" s="2"/>
      <c r="K227" s="2" t="s">
        <v>167</v>
      </c>
      <c r="L227" s="2" t="s">
        <v>311</v>
      </c>
      <c r="M227" s="2" t="n">
        <v>12</v>
      </c>
    </row>
    <row r="228" customFormat="false" ht="15" hidden="false" customHeight="false" outlineLevel="0" collapsed="false">
      <c r="A228" s="6" t="n">
        <v>46382</v>
      </c>
      <c r="B228" s="2" t="s">
        <v>367</v>
      </c>
      <c r="C228" s="2" t="s">
        <v>150</v>
      </c>
      <c r="D228" s="2" t="s">
        <v>145</v>
      </c>
      <c r="E228" s="2" t="s">
        <v>174</v>
      </c>
      <c r="F228" s="2" t="s">
        <v>165</v>
      </c>
      <c r="G228" s="2" t="n">
        <v>1</v>
      </c>
      <c r="H228" s="7" t="n">
        <v>24200</v>
      </c>
      <c r="I228" s="7" t="n">
        <f aca="false">IF(F228="Venta",G228*H228,0)</f>
        <v>0</v>
      </c>
      <c r="J228" s="2"/>
      <c r="K228" s="2" t="s">
        <v>167</v>
      </c>
      <c r="L228" s="2" t="s">
        <v>311</v>
      </c>
      <c r="M228" s="2" t="n">
        <v>12</v>
      </c>
    </row>
    <row r="229" customFormat="false" ht="15" hidden="false" customHeight="false" outlineLevel="0" collapsed="false">
      <c r="A229" s="6" t="n">
        <v>46382</v>
      </c>
      <c r="B229" s="2" t="s">
        <v>368</v>
      </c>
      <c r="C229" s="2" t="s">
        <v>146</v>
      </c>
      <c r="D229" s="2" t="s">
        <v>145</v>
      </c>
      <c r="E229" s="2" t="s">
        <v>160</v>
      </c>
      <c r="F229" s="2" t="s">
        <v>165</v>
      </c>
      <c r="G229" s="2" t="n">
        <v>1</v>
      </c>
      <c r="H229" s="7" t="n">
        <v>28000</v>
      </c>
      <c r="I229" s="7" t="n">
        <f aca="false">IF(F229="Venta",G229*H229,0)</f>
        <v>0</v>
      </c>
      <c r="J229" s="2"/>
      <c r="K229" s="2" t="s">
        <v>167</v>
      </c>
      <c r="L229" s="2" t="s">
        <v>311</v>
      </c>
      <c r="M229" s="2" t="n">
        <v>12</v>
      </c>
    </row>
    <row r="230" customFormat="false" ht="15" hidden="false" customHeight="false" outlineLevel="0" collapsed="false">
      <c r="A230" s="6" t="n">
        <v>46383</v>
      </c>
      <c r="B230" s="2" t="s">
        <v>369</v>
      </c>
      <c r="C230" s="2" t="s">
        <v>130</v>
      </c>
      <c r="D230" s="2" t="s">
        <v>63</v>
      </c>
      <c r="E230" s="2" t="s">
        <v>160</v>
      </c>
      <c r="F230" s="2" t="s">
        <v>165</v>
      </c>
      <c r="G230" s="2" t="n">
        <v>1</v>
      </c>
      <c r="H230" s="7" t="n">
        <v>13910</v>
      </c>
      <c r="I230" s="7" t="n">
        <f aca="false">IF(F230="Venta",G230*H230,0)</f>
        <v>0</v>
      </c>
      <c r="J230" s="2"/>
      <c r="K230" s="2" t="s">
        <v>167</v>
      </c>
      <c r="L230" s="2" t="s">
        <v>311</v>
      </c>
      <c r="M230" s="2" t="n">
        <v>12</v>
      </c>
    </row>
    <row r="231" customFormat="false" ht="15" hidden="false" customHeight="false" outlineLevel="0" collapsed="false">
      <c r="A231" s="6" t="n">
        <v>46383</v>
      </c>
      <c r="B231" s="2" t="s">
        <v>235</v>
      </c>
      <c r="C231" s="2" t="s">
        <v>135</v>
      </c>
      <c r="D231" s="2" t="s">
        <v>136</v>
      </c>
      <c r="E231" s="2" t="s">
        <v>160</v>
      </c>
      <c r="F231" s="2" t="s">
        <v>161</v>
      </c>
      <c r="G231" s="2" t="n">
        <v>1</v>
      </c>
      <c r="H231" s="7" t="n">
        <v>14310</v>
      </c>
      <c r="I231" s="7" t="n">
        <f aca="false">IF(F231="Venta",G231*H231,0)</f>
        <v>14310</v>
      </c>
      <c r="J231" s="2" t="s">
        <v>162</v>
      </c>
      <c r="K231" s="2" t="s">
        <v>167</v>
      </c>
      <c r="L231" s="2" t="s">
        <v>311</v>
      </c>
      <c r="M231" s="2" t="n">
        <v>12</v>
      </c>
    </row>
    <row r="232" customFormat="false" ht="15" hidden="false" customHeight="false" outlineLevel="0" collapsed="false">
      <c r="A232" s="6" t="n">
        <v>46383</v>
      </c>
      <c r="B232" s="2" t="s">
        <v>370</v>
      </c>
      <c r="C232" s="2" t="s">
        <v>138</v>
      </c>
      <c r="D232" s="2" t="s">
        <v>136</v>
      </c>
      <c r="E232" s="2" t="s">
        <v>160</v>
      </c>
      <c r="F232" s="2" t="s">
        <v>165</v>
      </c>
      <c r="G232" s="2" t="n">
        <v>1</v>
      </c>
      <c r="H232" s="7" t="n">
        <v>13200</v>
      </c>
      <c r="I232" s="7" t="n">
        <f aca="false">IF(F232="Venta",G232*H232,0)</f>
        <v>0</v>
      </c>
      <c r="J232" s="2"/>
      <c r="K232" s="2" t="s">
        <v>167</v>
      </c>
      <c r="L232" s="2" t="s">
        <v>311</v>
      </c>
      <c r="M232" s="2" t="n">
        <v>12</v>
      </c>
    </row>
    <row r="233" customFormat="false" ht="15" hidden="false" customHeight="false" outlineLevel="0" collapsed="false">
      <c r="A233" s="6" t="n">
        <v>46383</v>
      </c>
      <c r="B233" s="2" t="s">
        <v>371</v>
      </c>
      <c r="C233" s="2" t="s">
        <v>128</v>
      </c>
      <c r="D233" s="2" t="s">
        <v>63</v>
      </c>
      <c r="E233" s="2" t="s">
        <v>172</v>
      </c>
      <c r="F233" s="2" t="s">
        <v>165</v>
      </c>
      <c r="G233" s="2" t="n">
        <v>1</v>
      </c>
      <c r="H233" s="7" t="n">
        <v>13910</v>
      </c>
      <c r="I233" s="7" t="n">
        <f aca="false">IF(F233="Venta",G233*H233,0)</f>
        <v>0</v>
      </c>
      <c r="J233" s="2"/>
      <c r="K233" s="2" t="s">
        <v>167</v>
      </c>
      <c r="L233" s="2" t="s">
        <v>311</v>
      </c>
      <c r="M233" s="2" t="n">
        <v>12</v>
      </c>
    </row>
    <row r="234" customFormat="false" ht="15" hidden="false" customHeight="false" outlineLevel="0" collapsed="false">
      <c r="A234" s="6" t="n">
        <v>46384</v>
      </c>
      <c r="B234" s="2" t="s">
        <v>372</v>
      </c>
      <c r="C234" s="2" t="s">
        <v>131</v>
      </c>
      <c r="D234" s="2" t="s">
        <v>132</v>
      </c>
      <c r="E234" s="2" t="s">
        <v>174</v>
      </c>
      <c r="F234" s="2" t="s">
        <v>165</v>
      </c>
      <c r="G234" s="2" t="n">
        <v>1</v>
      </c>
      <c r="H234" s="7" t="n">
        <v>45810</v>
      </c>
      <c r="I234" s="7" t="n">
        <f aca="false">IF(F234="Venta",G234*H234,0)</f>
        <v>0</v>
      </c>
      <c r="J234" s="2"/>
      <c r="K234" s="2" t="s">
        <v>167</v>
      </c>
      <c r="L234" s="2" t="s">
        <v>311</v>
      </c>
      <c r="M234" s="2" t="n">
        <v>12</v>
      </c>
    </row>
    <row r="235" customFormat="false" ht="15" hidden="false" customHeight="false" outlineLevel="0" collapsed="false">
      <c r="A235" s="6" t="n">
        <v>46384</v>
      </c>
      <c r="B235" s="2" t="s">
        <v>305</v>
      </c>
      <c r="C235" s="2" t="s">
        <v>147</v>
      </c>
      <c r="D235" s="2" t="s">
        <v>145</v>
      </c>
      <c r="E235" s="2" t="s">
        <v>160</v>
      </c>
      <c r="F235" s="2" t="s">
        <v>165</v>
      </c>
      <c r="G235" s="2" t="n">
        <v>1</v>
      </c>
      <c r="H235" s="7" t="n">
        <v>19900</v>
      </c>
      <c r="I235" s="7" t="n">
        <f aca="false">IF(F235="Venta",G235*H235,0)</f>
        <v>0</v>
      </c>
      <c r="J235" s="2"/>
      <c r="K235" s="2" t="s">
        <v>167</v>
      </c>
      <c r="L235" s="2" t="s">
        <v>311</v>
      </c>
      <c r="M235" s="2" t="n">
        <v>12</v>
      </c>
    </row>
    <row r="236" customFormat="false" ht="15" hidden="false" customHeight="false" outlineLevel="0" collapsed="false">
      <c r="A236" s="6" t="n">
        <v>46384</v>
      </c>
      <c r="B236" s="2" t="s">
        <v>373</v>
      </c>
      <c r="C236" s="2" t="s">
        <v>135</v>
      </c>
      <c r="D236" s="2" t="s">
        <v>136</v>
      </c>
      <c r="E236" s="2" t="s">
        <v>174</v>
      </c>
      <c r="F236" s="2" t="s">
        <v>165</v>
      </c>
      <c r="G236" s="2" t="n">
        <v>1</v>
      </c>
      <c r="H236" s="7" t="n">
        <v>15900</v>
      </c>
      <c r="I236" s="7" t="n">
        <f aca="false">IF(F236="Venta",G236*H236,0)</f>
        <v>0</v>
      </c>
      <c r="J236" s="2"/>
      <c r="K236" s="2" t="s">
        <v>167</v>
      </c>
      <c r="L236" s="2" t="s">
        <v>311</v>
      </c>
      <c r="M236" s="2" t="n">
        <v>12</v>
      </c>
    </row>
    <row r="237" customFormat="false" ht="15" hidden="false" customHeight="false" outlineLevel="0" collapsed="false">
      <c r="A237" s="6" t="n">
        <v>46384</v>
      </c>
      <c r="B237" s="2" t="s">
        <v>374</v>
      </c>
      <c r="C237" s="2" t="s">
        <v>146</v>
      </c>
      <c r="D237" s="2" t="s">
        <v>145</v>
      </c>
      <c r="E237" s="2" t="s">
        <v>160</v>
      </c>
      <c r="F237" s="2" t="s">
        <v>165</v>
      </c>
      <c r="G237" s="2" t="n">
        <v>1</v>
      </c>
      <c r="H237" s="7" t="n">
        <v>28000</v>
      </c>
      <c r="I237" s="7" t="n">
        <f aca="false">IF(F237="Venta",G237*H237,0)</f>
        <v>0</v>
      </c>
      <c r="J237" s="2"/>
      <c r="K237" s="2" t="s">
        <v>167</v>
      </c>
      <c r="L237" s="2" t="s">
        <v>311</v>
      </c>
      <c r="M237" s="2" t="n">
        <v>12</v>
      </c>
    </row>
    <row r="238" customFormat="false" ht="15" hidden="false" customHeight="false" outlineLevel="0" collapsed="false">
      <c r="A238" s="6" t="n">
        <v>46384</v>
      </c>
      <c r="B238" s="2" t="s">
        <v>375</v>
      </c>
      <c r="C238" s="2" t="s">
        <v>133</v>
      </c>
      <c r="D238" s="2" t="s">
        <v>132</v>
      </c>
      <c r="E238" s="2" t="s">
        <v>160</v>
      </c>
      <c r="F238" s="2" t="s">
        <v>161</v>
      </c>
      <c r="G238" s="2" t="n">
        <v>1</v>
      </c>
      <c r="H238" s="7" t="n">
        <v>41229</v>
      </c>
      <c r="I238" s="7" t="n">
        <f aca="false">IF(F238="Venta",G238*H238,0)</f>
        <v>41229</v>
      </c>
      <c r="J238" s="2" t="s">
        <v>162</v>
      </c>
      <c r="K238" s="2" t="s">
        <v>167</v>
      </c>
      <c r="L238" s="2" t="s">
        <v>311</v>
      </c>
      <c r="M238" s="2" t="n">
        <v>12</v>
      </c>
    </row>
    <row r="239" customFormat="false" ht="15" hidden="false" customHeight="false" outlineLevel="0" collapsed="false">
      <c r="A239" s="6" t="n">
        <v>46385</v>
      </c>
      <c r="B239" s="2" t="s">
        <v>376</v>
      </c>
      <c r="C239" s="2" t="s">
        <v>131</v>
      </c>
      <c r="D239" s="2" t="s">
        <v>132</v>
      </c>
      <c r="E239" s="2" t="s">
        <v>160</v>
      </c>
      <c r="F239" s="2" t="s">
        <v>165</v>
      </c>
      <c r="G239" s="2" t="n">
        <v>1</v>
      </c>
      <c r="H239" s="7" t="n">
        <v>45810</v>
      </c>
      <c r="I239" s="7" t="n">
        <f aca="false">IF(F239="Venta",G239*H239,0)</f>
        <v>0</v>
      </c>
      <c r="J239" s="2"/>
      <c r="K239" s="2" t="s">
        <v>167</v>
      </c>
      <c r="L239" s="2" t="s">
        <v>311</v>
      </c>
      <c r="M239" s="2" t="n">
        <v>12</v>
      </c>
    </row>
    <row r="240" customFormat="false" ht="15" hidden="false" customHeight="false" outlineLevel="0" collapsed="false">
      <c r="A240" s="6" t="n">
        <v>46385</v>
      </c>
      <c r="B240" s="2" t="s">
        <v>377</v>
      </c>
      <c r="C240" s="2" t="s">
        <v>133</v>
      </c>
      <c r="D240" s="2" t="s">
        <v>132</v>
      </c>
      <c r="E240" s="2" t="s">
        <v>160</v>
      </c>
      <c r="F240" s="2" t="s">
        <v>161</v>
      </c>
      <c r="G240" s="2" t="n">
        <v>1</v>
      </c>
      <c r="H240" s="7" t="n">
        <v>41229</v>
      </c>
      <c r="I240" s="7" t="n">
        <f aca="false">IF(F240="Venta",G240*H240,0)</f>
        <v>41229</v>
      </c>
      <c r="J240" s="2" t="s">
        <v>162</v>
      </c>
      <c r="K240" s="2" t="s">
        <v>167</v>
      </c>
      <c r="L240" s="2" t="s">
        <v>311</v>
      </c>
      <c r="M240" s="2" t="n">
        <v>12</v>
      </c>
    </row>
    <row r="241" customFormat="false" ht="15" hidden="false" customHeight="false" outlineLevel="0" collapsed="false">
      <c r="A241" s="6" t="n">
        <v>46385</v>
      </c>
      <c r="B241" s="2" t="s">
        <v>378</v>
      </c>
      <c r="C241" s="2" t="s">
        <v>131</v>
      </c>
      <c r="D241" s="2" t="s">
        <v>132</v>
      </c>
      <c r="E241" s="2" t="s">
        <v>160</v>
      </c>
      <c r="F241" s="2" t="s">
        <v>161</v>
      </c>
      <c r="G241" s="2" t="n">
        <v>1</v>
      </c>
      <c r="H241" s="7" t="n">
        <v>41229</v>
      </c>
      <c r="I241" s="7" t="n">
        <f aca="false">IF(F241="Venta",G241*H241,0)</f>
        <v>41229</v>
      </c>
      <c r="J241" s="2" t="s">
        <v>162</v>
      </c>
      <c r="K241" s="2" t="s">
        <v>167</v>
      </c>
      <c r="L241" s="2" t="s">
        <v>311</v>
      </c>
      <c r="M241" s="2" t="n">
        <v>12</v>
      </c>
    </row>
    <row r="242" customFormat="false" ht="15" hidden="false" customHeight="false" outlineLevel="0" collapsed="false">
      <c r="A242" s="6" t="n">
        <v>46385</v>
      </c>
      <c r="B242" s="2" t="s">
        <v>379</v>
      </c>
      <c r="C242" s="2" t="s">
        <v>128</v>
      </c>
      <c r="D242" s="2" t="s">
        <v>63</v>
      </c>
      <c r="E242" s="2" t="s">
        <v>160</v>
      </c>
      <c r="F242" s="2" t="s">
        <v>165</v>
      </c>
      <c r="G242" s="2" t="n">
        <v>1</v>
      </c>
      <c r="H242" s="7" t="n">
        <v>13910</v>
      </c>
      <c r="I242" s="7" t="n">
        <f aca="false">IF(F242="Venta",G242*H242,0)</f>
        <v>0</v>
      </c>
      <c r="J242" s="2"/>
      <c r="K242" s="2" t="s">
        <v>167</v>
      </c>
      <c r="L242" s="2" t="s">
        <v>311</v>
      </c>
      <c r="M242" s="2" t="n">
        <v>12</v>
      </c>
    </row>
    <row r="243" customFormat="false" ht="15" hidden="false" customHeight="false" outlineLevel="0" collapsed="false">
      <c r="A243" s="6" t="n">
        <v>46385</v>
      </c>
      <c r="B243" s="2" t="s">
        <v>380</v>
      </c>
      <c r="C243" s="2" t="s">
        <v>133</v>
      </c>
      <c r="D243" s="2" t="s">
        <v>132</v>
      </c>
      <c r="E243" s="2" t="s">
        <v>174</v>
      </c>
      <c r="F243" s="2" t="s">
        <v>165</v>
      </c>
      <c r="G243" s="2" t="n">
        <v>1</v>
      </c>
      <c r="H243" s="7" t="n">
        <v>45810</v>
      </c>
      <c r="I243" s="7" t="n">
        <f aca="false">IF(F243="Venta",G243*H243,0)</f>
        <v>0</v>
      </c>
      <c r="J243" s="2"/>
      <c r="K243" s="2" t="s">
        <v>167</v>
      </c>
      <c r="L243" s="2" t="s">
        <v>311</v>
      </c>
      <c r="M243" s="2" t="n">
        <v>12</v>
      </c>
    </row>
    <row r="244" customFormat="false" ht="15" hidden="false" customHeight="false" outlineLevel="0" collapsed="false">
      <c r="A244" s="6" t="n">
        <v>46386</v>
      </c>
      <c r="B244" s="2" t="s">
        <v>381</v>
      </c>
      <c r="C244" s="2" t="s">
        <v>128</v>
      </c>
      <c r="D244" s="2" t="s">
        <v>63</v>
      </c>
      <c r="E244" s="2" t="s">
        <v>174</v>
      </c>
      <c r="F244" s="2" t="s">
        <v>165</v>
      </c>
      <c r="G244" s="2" t="n">
        <v>1</v>
      </c>
      <c r="H244" s="7" t="n">
        <v>13910</v>
      </c>
      <c r="I244" s="7" t="n">
        <f aca="false">IF(F244="Venta",G244*H244,0)</f>
        <v>0</v>
      </c>
      <c r="J244" s="2"/>
      <c r="K244" s="2" t="s">
        <v>167</v>
      </c>
      <c r="L244" s="2" t="s">
        <v>311</v>
      </c>
      <c r="M244" s="2" t="n">
        <v>12</v>
      </c>
    </row>
    <row r="245" customFormat="false" ht="15" hidden="false" customHeight="false" outlineLevel="0" collapsed="false">
      <c r="A245" s="6" t="n">
        <v>46386</v>
      </c>
      <c r="B245" s="2" t="s">
        <v>382</v>
      </c>
      <c r="C245" s="2" t="s">
        <v>130</v>
      </c>
      <c r="D245" s="2" t="s">
        <v>63</v>
      </c>
      <c r="E245" s="2" t="s">
        <v>160</v>
      </c>
      <c r="F245" s="2" t="s">
        <v>161</v>
      </c>
      <c r="G245" s="2" t="n">
        <v>2</v>
      </c>
      <c r="H245" s="7" t="n">
        <v>12519</v>
      </c>
      <c r="I245" s="7" t="n">
        <f aca="false">IF(F245="Venta",G245*H245,0)</f>
        <v>25038</v>
      </c>
      <c r="J245" s="2" t="s">
        <v>162</v>
      </c>
      <c r="K245" s="2" t="s">
        <v>167</v>
      </c>
      <c r="L245" s="2" t="s">
        <v>311</v>
      </c>
      <c r="M245" s="2" t="n">
        <v>12</v>
      </c>
    </row>
    <row r="246" customFormat="false" ht="15" hidden="false" customHeight="false" outlineLevel="0" collapsed="false">
      <c r="A246" s="6" t="n">
        <v>46386</v>
      </c>
      <c r="B246" s="2" t="s">
        <v>383</v>
      </c>
      <c r="C246" s="2" t="s">
        <v>147</v>
      </c>
      <c r="D246" s="2" t="s">
        <v>145</v>
      </c>
      <c r="E246" s="2" t="s">
        <v>174</v>
      </c>
      <c r="F246" s="2" t="s">
        <v>165</v>
      </c>
      <c r="G246" s="2" t="n">
        <v>1</v>
      </c>
      <c r="H246" s="7" t="n">
        <v>19900</v>
      </c>
      <c r="I246" s="7" t="n">
        <f aca="false">IF(F246="Venta",G246*H246,0)</f>
        <v>0</v>
      </c>
      <c r="J246" s="2"/>
      <c r="K246" s="2" t="s">
        <v>167</v>
      </c>
      <c r="L246" s="2" t="s">
        <v>311</v>
      </c>
      <c r="M246" s="2" t="n">
        <v>12</v>
      </c>
    </row>
    <row r="247" customFormat="false" ht="15" hidden="false" customHeight="false" outlineLevel="0" collapsed="false">
      <c r="A247" s="6" t="n">
        <v>46387</v>
      </c>
      <c r="B247" s="2" t="s">
        <v>384</v>
      </c>
      <c r="C247" s="2" t="s">
        <v>135</v>
      </c>
      <c r="D247" s="2" t="s">
        <v>136</v>
      </c>
      <c r="E247" s="2" t="s">
        <v>160</v>
      </c>
      <c r="F247" s="2" t="s">
        <v>161</v>
      </c>
      <c r="G247" s="2" t="n">
        <v>1</v>
      </c>
      <c r="H247" s="7" t="n">
        <v>15900</v>
      </c>
      <c r="I247" s="7" t="n">
        <f aca="false">IF(F247="Venta",G247*H247,0)</f>
        <v>15900</v>
      </c>
      <c r="J247" s="2" t="s">
        <v>179</v>
      </c>
      <c r="K247" s="2" t="s">
        <v>167</v>
      </c>
      <c r="L247" s="2" t="s">
        <v>311</v>
      </c>
      <c r="M247" s="2" t="n">
        <v>12</v>
      </c>
    </row>
    <row r="248" customFormat="false" ht="15" hidden="false" customHeight="false" outlineLevel="0" collapsed="false">
      <c r="A248" s="6" t="n">
        <v>46387</v>
      </c>
      <c r="B248" s="2" t="s">
        <v>180</v>
      </c>
      <c r="C248" s="2" t="s">
        <v>150</v>
      </c>
      <c r="D248" s="2" t="s">
        <v>145</v>
      </c>
      <c r="E248" s="2" t="s">
        <v>160</v>
      </c>
      <c r="F248" s="2" t="s">
        <v>161</v>
      </c>
      <c r="G248" s="2" t="n">
        <v>1</v>
      </c>
      <c r="H248" s="7" t="n">
        <v>21780</v>
      </c>
      <c r="I248" s="7" t="n">
        <f aca="false">IF(F248="Venta",G248*H248,0)</f>
        <v>21780</v>
      </c>
      <c r="J248" s="2" t="s">
        <v>162</v>
      </c>
      <c r="K248" s="2" t="s">
        <v>167</v>
      </c>
      <c r="L248" s="2" t="s">
        <v>311</v>
      </c>
      <c r="M248" s="2" t="n">
        <v>12</v>
      </c>
    </row>
    <row r="249" customFormat="false" ht="15" hidden="false" customHeight="false" outlineLevel="0" collapsed="false">
      <c r="A249" s="6" t="n">
        <v>46387</v>
      </c>
      <c r="B249" s="2" t="s">
        <v>385</v>
      </c>
      <c r="C249" s="2" t="s">
        <v>128</v>
      </c>
      <c r="D249" s="2" t="s">
        <v>63</v>
      </c>
      <c r="E249" s="2" t="s">
        <v>160</v>
      </c>
      <c r="F249" s="2" t="s">
        <v>165</v>
      </c>
      <c r="G249" s="2" t="n">
        <v>1</v>
      </c>
      <c r="H249" s="7" t="n">
        <v>13910</v>
      </c>
      <c r="I249" s="7" t="n">
        <f aca="false">IF(F249="Venta",G249*H249,0)</f>
        <v>0</v>
      </c>
      <c r="J249" s="2"/>
      <c r="K249" s="2" t="s">
        <v>167</v>
      </c>
      <c r="L249" s="2" t="s">
        <v>311</v>
      </c>
      <c r="M249" s="2" t="n">
        <v>12</v>
      </c>
    </row>
    <row r="250" customFormat="false" ht="15" hidden="false" customHeight="false" outlineLevel="0" collapsed="false">
      <c r="A250" s="6" t="n">
        <v>46387</v>
      </c>
      <c r="B250" s="2" t="s">
        <v>194</v>
      </c>
      <c r="C250" s="2" t="s">
        <v>150</v>
      </c>
      <c r="D250" s="2" t="s">
        <v>145</v>
      </c>
      <c r="E250" s="2" t="s">
        <v>160</v>
      </c>
      <c r="F250" s="2" t="s">
        <v>165</v>
      </c>
      <c r="G250" s="2" t="n">
        <v>1</v>
      </c>
      <c r="H250" s="7" t="n">
        <v>24200</v>
      </c>
      <c r="I250" s="7" t="n">
        <f aca="false">IF(F250="Venta",G250*H250,0)</f>
        <v>0</v>
      </c>
      <c r="J250" s="2"/>
      <c r="K250" s="2" t="s">
        <v>167</v>
      </c>
      <c r="L250" s="2" t="s">
        <v>311</v>
      </c>
      <c r="M250" s="2" t="n">
        <v>12</v>
      </c>
    </row>
    <row r="251" customFormat="false" ht="15" hidden="false" customHeight="false" outlineLevel="0" collapsed="false">
      <c r="A251" s="6" t="n">
        <v>46387</v>
      </c>
      <c r="B251" s="2" t="s">
        <v>386</v>
      </c>
      <c r="C251" s="2" t="s">
        <v>133</v>
      </c>
      <c r="D251" s="2" t="s">
        <v>132</v>
      </c>
      <c r="E251" s="2" t="s">
        <v>174</v>
      </c>
      <c r="F251" s="2" t="s">
        <v>165</v>
      </c>
      <c r="G251" s="2" t="n">
        <v>1</v>
      </c>
      <c r="H251" s="7" t="n">
        <v>45810</v>
      </c>
      <c r="I251" s="7" t="n">
        <f aca="false">IF(F251="Venta",G251*H251,0)</f>
        <v>0</v>
      </c>
      <c r="J251" s="2"/>
      <c r="K251" s="2" t="s">
        <v>167</v>
      </c>
      <c r="L251" s="2" t="s">
        <v>311</v>
      </c>
      <c r="M251" s="2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9"/>
  </cols>
  <sheetData>
    <row r="1" customFormat="false" ht="15" hidden="false" customHeight="false" outlineLevel="0" collapsed="false">
      <c r="A1" s="1" t="s">
        <v>387</v>
      </c>
    </row>
    <row r="2" customFormat="false" ht="15" hidden="false" customHeight="false" outlineLevel="0" collapsed="false">
      <c r="A2" s="3" t="s">
        <v>124</v>
      </c>
      <c r="B2" s="3" t="s">
        <v>125</v>
      </c>
      <c r="C2" s="3" t="s">
        <v>388</v>
      </c>
      <c r="D2" s="3" t="s">
        <v>389</v>
      </c>
      <c r="E2" s="3" t="s">
        <v>390</v>
      </c>
      <c r="F2" s="3" t="s">
        <v>391</v>
      </c>
      <c r="G2" s="3" t="s">
        <v>392</v>
      </c>
      <c r="H2" s="3" t="s">
        <v>393</v>
      </c>
    </row>
    <row r="3" customFormat="false" ht="15" hidden="false" customHeight="false" outlineLevel="0" collapsed="false">
      <c r="A3" s="2" t="s">
        <v>128</v>
      </c>
      <c r="B3" s="2" t="s">
        <v>63</v>
      </c>
      <c r="C3" s="2" t="n">
        <f aca="false">COUNTIFS(Ventas_consultas!$C$2:$C$251,$A3,Ventas_consultas!$K$2:$K$251,"Simulado",Ventas_consultas!$F$2:$F$251,"Consulta")</f>
        <v>22</v>
      </c>
      <c r="D3" s="2" t="n">
        <f aca="false">COUNTIFS(Ventas_consultas!$C$2:$C$251,$A3,Ventas_consultas!$K$2:$K$251,"Simulado",Ventas_consultas!$F$2:$F$251,"Venta")</f>
        <v>10</v>
      </c>
      <c r="E3" s="5" t="n">
        <f aca="false">IF(C3&gt;0,D3/C3,"")</f>
        <v>0.454545454545455</v>
      </c>
      <c r="F3" s="2" t="n">
        <f aca="false">SUMIFS(Ventas_consultas!$G$2:$G$251,Ventas_consultas!$C$2:$C$251,$A3,Ventas_consultas!$K$2:$K$251,"Simulado",Ventas_consultas!$F$2:$F$251,"Venta")</f>
        <v>12</v>
      </c>
      <c r="G3" s="7" t="n">
        <f aca="false">SUMIFS(Ventas_consultas!$I$2:$I$251,Ventas_consultas!$C$2:$C$251,$A3,Ventas_consultas!$K$2:$K$251,"Simulado",Ventas_consultas!$F$2:$F$251,"Venta")</f>
        <v>155792</v>
      </c>
      <c r="H3" s="7" t="n">
        <f aca="false">IF(D3&gt;0,G3/D3,"")</f>
        <v>15579.2</v>
      </c>
    </row>
    <row r="4" customFormat="false" ht="15" hidden="false" customHeight="false" outlineLevel="0" collapsed="false">
      <c r="A4" s="2" t="s">
        <v>130</v>
      </c>
      <c r="B4" s="2" t="s">
        <v>63</v>
      </c>
      <c r="C4" s="2" t="n">
        <f aca="false">COUNTIFS(Ventas_consultas!$C$2:$C$251,$A4,Ventas_consultas!$K$2:$K$251,"Simulado",Ventas_consultas!$F$2:$F$251,"Consulta")</f>
        <v>18</v>
      </c>
      <c r="D4" s="2" t="n">
        <f aca="false">COUNTIFS(Ventas_consultas!$C$2:$C$251,$A4,Ventas_consultas!$K$2:$K$251,"Simulado",Ventas_consultas!$F$2:$F$251,"Venta")</f>
        <v>8</v>
      </c>
      <c r="E4" s="5" t="n">
        <f aca="false">IF(C4&gt;0,D4/C4,"")</f>
        <v>0.444444444444444</v>
      </c>
      <c r="F4" s="2" t="n">
        <f aca="false">SUMIFS(Ventas_consultas!$G$2:$G$251,Ventas_consultas!$C$2:$C$251,$A4,Ventas_consultas!$K$2:$K$251,"Simulado",Ventas_consultas!$F$2:$F$251,"Venta")</f>
        <v>9</v>
      </c>
      <c r="G4" s="7" t="n">
        <f aca="false">SUMIFS(Ventas_consultas!$I$2:$I$251,Ventas_consultas!$C$2:$C$251,$A4,Ventas_consultas!$K$2:$K$251,"Simulado",Ventas_consultas!$F$2:$F$251,"Venta")</f>
        <v>116844</v>
      </c>
      <c r="H4" s="7" t="n">
        <f aca="false">IF(D4&gt;0,G4/D4,"")</f>
        <v>14605.5</v>
      </c>
    </row>
    <row r="5" customFormat="false" ht="15" hidden="false" customHeight="false" outlineLevel="0" collapsed="false">
      <c r="A5" s="2" t="s">
        <v>131</v>
      </c>
      <c r="B5" s="2" t="s">
        <v>132</v>
      </c>
      <c r="C5" s="2" t="n">
        <f aca="false">COUNTIFS(Ventas_consultas!$C$2:$C$251,$A5,Ventas_consultas!$K$2:$K$251,"Simulado",Ventas_consultas!$F$2:$F$251,"Consulta")</f>
        <v>20</v>
      </c>
      <c r="D5" s="2" t="n">
        <f aca="false">COUNTIFS(Ventas_consultas!$C$2:$C$251,$A5,Ventas_consultas!$K$2:$K$251,"Simulado",Ventas_consultas!$F$2:$F$251,"Venta")</f>
        <v>7</v>
      </c>
      <c r="E5" s="5" t="n">
        <f aca="false">IF(C5&gt;0,D5/C5,"")</f>
        <v>0.35</v>
      </c>
      <c r="F5" s="2" t="n">
        <f aca="false">SUMIFS(Ventas_consultas!$G$2:$G$251,Ventas_consultas!$C$2:$C$251,$A5,Ventas_consultas!$K$2:$K$251,"Simulado",Ventas_consultas!$F$2:$F$251,"Venta")</f>
        <v>7</v>
      </c>
      <c r="G5" s="7" t="n">
        <f aca="false">SUMIFS(Ventas_consultas!$I$2:$I$251,Ventas_consultas!$C$2:$C$251,$A5,Ventas_consultas!$K$2:$K$251,"Simulado",Ventas_consultas!$F$2:$F$251,"Venta")</f>
        <v>293184</v>
      </c>
      <c r="H5" s="7" t="n">
        <f aca="false">IF(D5&gt;0,G5/D5,"")</f>
        <v>41883.4285714286</v>
      </c>
    </row>
    <row r="6" customFormat="false" ht="15" hidden="false" customHeight="false" outlineLevel="0" collapsed="false">
      <c r="A6" s="2" t="s">
        <v>133</v>
      </c>
      <c r="B6" s="2" t="s">
        <v>132</v>
      </c>
      <c r="C6" s="2" t="n">
        <f aca="false">COUNTIFS(Ventas_consultas!$C$2:$C$251,$A6,Ventas_consultas!$K$2:$K$251,"Simulado",Ventas_consultas!$F$2:$F$251,"Consulta")</f>
        <v>17</v>
      </c>
      <c r="D6" s="2" t="n">
        <f aca="false">COUNTIFS(Ventas_consultas!$C$2:$C$251,$A6,Ventas_consultas!$K$2:$K$251,"Simulado",Ventas_consultas!$F$2:$F$251,"Venta")</f>
        <v>6</v>
      </c>
      <c r="E6" s="5" t="n">
        <f aca="false">IF(C6&gt;0,D6/C6,"")</f>
        <v>0.352941176470588</v>
      </c>
      <c r="F6" s="2" t="n">
        <f aca="false">SUMIFS(Ventas_consultas!$G$2:$G$251,Ventas_consultas!$C$2:$C$251,$A6,Ventas_consultas!$K$2:$K$251,"Simulado",Ventas_consultas!$F$2:$F$251,"Venta")</f>
        <v>7</v>
      </c>
      <c r="G6" s="7" t="n">
        <f aca="false">SUMIFS(Ventas_consultas!$I$2:$I$251,Ventas_consultas!$C$2:$C$251,$A6,Ventas_consultas!$K$2:$K$251,"Simulado",Ventas_consultas!$F$2:$F$251,"Venta")</f>
        <v>288603</v>
      </c>
      <c r="H6" s="7" t="n">
        <f aca="false">IF(D6&gt;0,G6/D6,"")</f>
        <v>48100.5</v>
      </c>
    </row>
    <row r="7" customFormat="false" ht="15" hidden="false" customHeight="false" outlineLevel="0" collapsed="false">
      <c r="A7" s="2" t="s">
        <v>134</v>
      </c>
      <c r="B7" s="2" t="s">
        <v>132</v>
      </c>
      <c r="C7" s="2" t="n">
        <f aca="false">COUNTIFS(Ventas_consultas!$C$2:$C$251,$A7,Ventas_consultas!$K$2:$K$251,"Simulado",Ventas_consultas!$F$2:$F$251,"Consulta")</f>
        <v>8</v>
      </c>
      <c r="D7" s="2" t="n">
        <f aca="false">COUNTIFS(Ventas_consultas!$C$2:$C$251,$A7,Ventas_consultas!$K$2:$K$251,"Simulado",Ventas_consultas!$F$2:$F$251,"Venta")</f>
        <v>3</v>
      </c>
      <c r="E7" s="5" t="n">
        <f aca="false">IF(C7&gt;0,D7/C7,"")</f>
        <v>0.375</v>
      </c>
      <c r="F7" s="2" t="n">
        <f aca="false">SUMIFS(Ventas_consultas!$G$2:$G$251,Ventas_consultas!$C$2:$C$251,$A7,Ventas_consultas!$K$2:$K$251,"Simulado",Ventas_consultas!$F$2:$F$251,"Venta")</f>
        <v>4</v>
      </c>
      <c r="G7" s="7" t="n">
        <f aca="false">SUMIFS(Ventas_consultas!$I$2:$I$251,Ventas_consultas!$C$2:$C$251,$A7,Ventas_consultas!$K$2:$K$251,"Simulado",Ventas_consultas!$F$2:$F$251,"Venta")</f>
        <v>49959</v>
      </c>
      <c r="H7" s="7" t="n">
        <f aca="false">IF(D7&gt;0,G7/D7,"")</f>
        <v>16653</v>
      </c>
    </row>
    <row r="8" customFormat="false" ht="15" hidden="false" customHeight="false" outlineLevel="0" collapsed="false">
      <c r="A8" s="2" t="s">
        <v>135</v>
      </c>
      <c r="B8" s="2" t="s">
        <v>136</v>
      </c>
      <c r="C8" s="2" t="n">
        <f aca="false">COUNTIFS(Ventas_consultas!$C$2:$C$251,$A8,Ventas_consultas!$K$2:$K$251,"Simulado",Ventas_consultas!$F$2:$F$251,"Consulta")</f>
        <v>10</v>
      </c>
      <c r="D8" s="2" t="n">
        <f aca="false">COUNTIFS(Ventas_consultas!$C$2:$C$251,$A8,Ventas_consultas!$K$2:$K$251,"Simulado",Ventas_consultas!$F$2:$F$251,"Venta")</f>
        <v>4</v>
      </c>
      <c r="E8" s="5" t="n">
        <f aca="false">IF(C8&gt;0,D8/C8,"")</f>
        <v>0.4</v>
      </c>
      <c r="F8" s="2" t="n">
        <f aca="false">SUMIFS(Ventas_consultas!$G$2:$G$251,Ventas_consultas!$C$2:$C$251,$A8,Ventas_consultas!$K$2:$K$251,"Simulado",Ventas_consultas!$F$2:$F$251,"Venta")</f>
        <v>4</v>
      </c>
      <c r="G8" s="7" t="n">
        <f aca="false">SUMIFS(Ventas_consultas!$I$2:$I$251,Ventas_consultas!$C$2:$C$251,$A8,Ventas_consultas!$K$2:$K$251,"Simulado",Ventas_consultas!$F$2:$F$251,"Venta")</f>
        <v>60420</v>
      </c>
      <c r="H8" s="7" t="n">
        <f aca="false">IF(D8&gt;0,G8/D8,"")</f>
        <v>15105</v>
      </c>
    </row>
    <row r="9" customFormat="false" ht="15" hidden="false" customHeight="false" outlineLevel="0" collapsed="false">
      <c r="A9" s="2" t="s">
        <v>137</v>
      </c>
      <c r="B9" s="2" t="s">
        <v>136</v>
      </c>
      <c r="C9" s="2" t="n">
        <f aca="false">COUNTIFS(Ventas_consultas!$C$2:$C$251,$A9,Ventas_consultas!$K$2:$K$251,"Simulado",Ventas_consultas!$F$2:$F$251,"Consulta")</f>
        <v>8</v>
      </c>
      <c r="D9" s="2" t="n">
        <f aca="false">COUNTIFS(Ventas_consultas!$C$2:$C$251,$A9,Ventas_consultas!$K$2:$K$251,"Simulado",Ventas_consultas!$F$2:$F$251,"Venta")</f>
        <v>3</v>
      </c>
      <c r="E9" s="5" t="n">
        <f aca="false">IF(C9&gt;0,D9/C9,"")</f>
        <v>0.375</v>
      </c>
      <c r="F9" s="2" t="n">
        <f aca="false">SUMIFS(Ventas_consultas!$G$2:$G$251,Ventas_consultas!$C$2:$C$251,$A9,Ventas_consultas!$K$2:$K$251,"Simulado",Ventas_consultas!$F$2:$F$251,"Venta")</f>
        <v>3</v>
      </c>
      <c r="G9" s="7" t="n">
        <f aca="false">SUMIFS(Ventas_consultas!$I$2:$I$251,Ventas_consultas!$C$2:$C$251,$A9,Ventas_consultas!$K$2:$K$251,"Simulado",Ventas_consultas!$F$2:$F$251,"Venta")</f>
        <v>36960</v>
      </c>
      <c r="H9" s="7" t="n">
        <f aca="false">IF(D9&gt;0,G9/D9,"")</f>
        <v>12320</v>
      </c>
    </row>
    <row r="10" customFormat="false" ht="15" hidden="false" customHeight="false" outlineLevel="0" collapsed="false">
      <c r="A10" s="2" t="s">
        <v>138</v>
      </c>
      <c r="B10" s="2" t="s">
        <v>136</v>
      </c>
      <c r="C10" s="2" t="n">
        <f aca="false">COUNTIFS(Ventas_consultas!$C$2:$C$251,$A10,Ventas_consultas!$K$2:$K$251,"Simulado",Ventas_consultas!$F$2:$F$251,"Consulta")</f>
        <v>8</v>
      </c>
      <c r="D10" s="2" t="n">
        <f aca="false">COUNTIFS(Ventas_consultas!$C$2:$C$251,$A10,Ventas_consultas!$K$2:$K$251,"Simulado",Ventas_consultas!$F$2:$F$251,"Venta")</f>
        <v>3</v>
      </c>
      <c r="E10" s="5" t="n">
        <f aca="false">IF(C10&gt;0,D10/C10,"")</f>
        <v>0.375</v>
      </c>
      <c r="F10" s="2" t="n">
        <f aca="false">SUMIFS(Ventas_consultas!$G$2:$G$251,Ventas_consultas!$C$2:$C$251,$A10,Ventas_consultas!$K$2:$K$251,"Simulado",Ventas_consultas!$F$2:$F$251,"Venta")</f>
        <v>4</v>
      </c>
      <c r="G10" s="7" t="n">
        <f aca="false">SUMIFS(Ventas_consultas!$I$2:$I$251,Ventas_consultas!$C$2:$C$251,$A10,Ventas_consultas!$K$2:$K$251,"Simulado",Ventas_consultas!$F$2:$F$251,"Venta")</f>
        <v>50160</v>
      </c>
      <c r="H10" s="7" t="n">
        <f aca="false">IF(D10&gt;0,G10/D10,"")</f>
        <v>16720</v>
      </c>
    </row>
    <row r="11" customFormat="false" ht="15" hidden="false" customHeight="false" outlineLevel="0" collapsed="false">
      <c r="A11" s="2" t="s">
        <v>139</v>
      </c>
      <c r="B11" s="2" t="s">
        <v>57</v>
      </c>
      <c r="C11" s="2" t="n">
        <f aca="false">COUNTIFS(Ventas_consultas!$C$2:$C$251,$A11,Ventas_consultas!$K$2:$K$251,"Simulado",Ventas_consultas!$F$2:$F$251,"Consulta")</f>
        <v>15</v>
      </c>
      <c r="D11" s="2" t="n">
        <f aca="false">COUNTIFS(Ventas_consultas!$C$2:$C$251,$A11,Ventas_consultas!$K$2:$K$251,"Simulado",Ventas_consultas!$F$2:$F$251,"Venta")</f>
        <v>4</v>
      </c>
      <c r="E11" s="5" t="n">
        <f aca="false">IF(C11&gt;0,D11/C11,"")</f>
        <v>0.266666666666667</v>
      </c>
      <c r="F11" s="2" t="n">
        <f aca="false">SUMIFS(Ventas_consultas!$G$2:$G$251,Ventas_consultas!$C$2:$C$251,$A11,Ventas_consultas!$K$2:$K$251,"Simulado",Ventas_consultas!$F$2:$F$251,"Venta")</f>
        <v>6</v>
      </c>
      <c r="G11" s="7" t="n">
        <f aca="false">SUMIFS(Ventas_consultas!$I$2:$I$251,Ventas_consultas!$C$2:$C$251,$A11,Ventas_consultas!$K$2:$K$251,"Simulado",Ventas_consultas!$F$2:$F$251,"Venta")</f>
        <v>69174</v>
      </c>
      <c r="H11" s="7" t="n">
        <f aca="false">IF(D11&gt;0,G11/D11,"")</f>
        <v>17293.5</v>
      </c>
    </row>
    <row r="12" customFormat="false" ht="15" hidden="false" customHeight="false" outlineLevel="0" collapsed="false">
      <c r="A12" s="2" t="s">
        <v>140</v>
      </c>
      <c r="B12" s="2" t="s">
        <v>141</v>
      </c>
      <c r="C12" s="2" t="n">
        <f aca="false">COUNTIFS(Ventas_consultas!$C$2:$C$251,$A12,Ventas_consultas!$K$2:$K$251,"Simulado",Ventas_consultas!$F$2:$F$251,"Consulta")</f>
        <v>8</v>
      </c>
      <c r="D12" s="2" t="n">
        <f aca="false">COUNTIFS(Ventas_consultas!$C$2:$C$251,$A12,Ventas_consultas!$K$2:$K$251,"Simulado",Ventas_consultas!$F$2:$F$251,"Venta")</f>
        <v>2</v>
      </c>
      <c r="E12" s="5" t="n">
        <f aca="false">IF(C12&gt;0,D12/C12,"")</f>
        <v>0.25</v>
      </c>
      <c r="F12" s="2" t="n">
        <f aca="false">SUMIFS(Ventas_consultas!$G$2:$G$251,Ventas_consultas!$C$2:$C$251,$A12,Ventas_consultas!$K$2:$K$251,"Simulado",Ventas_consultas!$F$2:$F$251,"Venta")</f>
        <v>2</v>
      </c>
      <c r="G12" s="7" t="n">
        <f aca="false">SUMIFS(Ventas_consultas!$I$2:$I$251,Ventas_consultas!$C$2:$C$251,$A12,Ventas_consultas!$K$2:$K$251,"Simulado",Ventas_consultas!$F$2:$F$251,"Venta")</f>
        <v>34789</v>
      </c>
      <c r="H12" s="7" t="n">
        <f aca="false">IF(D12&gt;0,G12/D12,"")</f>
        <v>17394.5</v>
      </c>
    </row>
    <row r="13" customFormat="false" ht="15" hidden="false" customHeight="false" outlineLevel="0" collapsed="false">
      <c r="A13" s="2" t="s">
        <v>142</v>
      </c>
      <c r="B13" s="2" t="s">
        <v>141</v>
      </c>
      <c r="C13" s="2" t="n">
        <f aca="false">COUNTIFS(Ventas_consultas!$C$2:$C$251,$A13,Ventas_consultas!$K$2:$K$251,"Simulado",Ventas_consultas!$F$2:$F$251,"Consulta")</f>
        <v>6</v>
      </c>
      <c r="D13" s="2" t="n">
        <f aca="false">COUNTIFS(Ventas_consultas!$C$2:$C$251,$A13,Ventas_consultas!$K$2:$K$251,"Simulado",Ventas_consultas!$F$2:$F$251,"Venta")</f>
        <v>2</v>
      </c>
      <c r="E13" s="5" t="n">
        <f aca="false">IF(C13&gt;0,D13/C13,"")</f>
        <v>0.333333333333333</v>
      </c>
      <c r="F13" s="2" t="n">
        <f aca="false">SUMIFS(Ventas_consultas!$G$2:$G$251,Ventas_consultas!$C$2:$C$251,$A13,Ventas_consultas!$K$2:$K$251,"Simulado",Ventas_consultas!$F$2:$F$251,"Venta")</f>
        <v>3</v>
      </c>
      <c r="G13" s="7" t="n">
        <f aca="false">SUMIFS(Ventas_consultas!$I$2:$I$251,Ventas_consultas!$C$2:$C$251,$A13,Ventas_consultas!$K$2:$K$251,"Simulado",Ventas_consultas!$F$2:$F$251,"Venta")</f>
        <v>37557</v>
      </c>
      <c r="H13" s="7" t="n">
        <f aca="false">IF(D13&gt;0,G13/D13,"")</f>
        <v>18778.5</v>
      </c>
    </row>
    <row r="14" customFormat="false" ht="15" hidden="false" customHeight="false" outlineLevel="0" collapsed="false">
      <c r="A14" s="2" t="s">
        <v>143</v>
      </c>
      <c r="B14" s="2" t="s">
        <v>141</v>
      </c>
      <c r="C14" s="2" t="n">
        <f aca="false">COUNTIFS(Ventas_consultas!$C$2:$C$251,$A14,Ventas_consultas!$K$2:$K$251,"Simulado",Ventas_consultas!$F$2:$F$251,"Consulta")</f>
        <v>6</v>
      </c>
      <c r="D14" s="2" t="n">
        <f aca="false">COUNTIFS(Ventas_consultas!$C$2:$C$251,$A14,Ventas_consultas!$K$2:$K$251,"Simulado",Ventas_consultas!$F$2:$F$251,"Venta")</f>
        <v>2</v>
      </c>
      <c r="E14" s="5" t="n">
        <f aca="false">IF(C14&gt;0,D14/C14,"")</f>
        <v>0.333333333333333</v>
      </c>
      <c r="F14" s="2" t="n">
        <f aca="false">SUMIFS(Ventas_consultas!$G$2:$G$251,Ventas_consultas!$C$2:$C$251,$A14,Ventas_consultas!$K$2:$K$251,"Simulado",Ventas_consultas!$F$2:$F$251,"Venta")</f>
        <v>3</v>
      </c>
      <c r="G14" s="7" t="n">
        <f aca="false">SUMIFS(Ventas_consultas!$I$2:$I$251,Ventas_consultas!$C$2:$C$251,$A14,Ventas_consultas!$K$2:$K$251,"Simulado",Ventas_consultas!$F$2:$F$251,"Venta")</f>
        <v>40770</v>
      </c>
      <c r="H14" s="7" t="n">
        <f aca="false">IF(D14&gt;0,G14/D14,"")</f>
        <v>20385</v>
      </c>
    </row>
    <row r="15" customFormat="false" ht="15" hidden="false" customHeight="false" outlineLevel="0" collapsed="false">
      <c r="A15" s="2" t="s">
        <v>144</v>
      </c>
      <c r="B15" s="2" t="s">
        <v>145</v>
      </c>
      <c r="C15" s="2" t="n">
        <f aca="false">COUNTIFS(Ventas_consultas!$C$2:$C$251,$A15,Ventas_consultas!$K$2:$K$251,"Simulado",Ventas_consultas!$F$2:$F$251,"Consulta")</f>
        <v>8</v>
      </c>
      <c r="D15" s="2" t="n">
        <f aca="false">COUNTIFS(Ventas_consultas!$C$2:$C$251,$A15,Ventas_consultas!$K$2:$K$251,"Simulado",Ventas_consultas!$F$2:$F$251,"Venta")</f>
        <v>1</v>
      </c>
      <c r="E15" s="5" t="n">
        <f aca="false">IF(C15&gt;0,D15/C15,"")</f>
        <v>0.125</v>
      </c>
      <c r="F15" s="2" t="n">
        <f aca="false">SUMIFS(Ventas_consultas!$G$2:$G$251,Ventas_consultas!$C$2:$C$251,$A15,Ventas_consultas!$K$2:$K$251,"Simulado",Ventas_consultas!$F$2:$F$251,"Venta")</f>
        <v>2</v>
      </c>
      <c r="G15" s="7" t="n">
        <f aca="false">SUMIFS(Ventas_consultas!$I$2:$I$251,Ventas_consultas!$C$2:$C$251,$A15,Ventas_consultas!$K$2:$K$251,"Simulado",Ventas_consultas!$F$2:$F$251,"Venta")</f>
        <v>44000</v>
      </c>
      <c r="H15" s="7" t="n">
        <f aca="false">IF(D15&gt;0,G15/D15,"")</f>
        <v>44000</v>
      </c>
    </row>
    <row r="16" customFormat="false" ht="15" hidden="false" customHeight="false" outlineLevel="0" collapsed="false">
      <c r="A16" s="2" t="s">
        <v>146</v>
      </c>
      <c r="B16" s="2" t="s">
        <v>145</v>
      </c>
      <c r="C16" s="2" t="n">
        <f aca="false">COUNTIFS(Ventas_consultas!$C$2:$C$251,$A16,Ventas_consultas!$K$2:$K$251,"Simulado",Ventas_consultas!$F$2:$F$251,"Consulta")</f>
        <v>7</v>
      </c>
      <c r="D16" s="2" t="n">
        <f aca="false">COUNTIFS(Ventas_consultas!$C$2:$C$251,$A16,Ventas_consultas!$K$2:$K$251,"Simulado",Ventas_consultas!$F$2:$F$251,"Venta")</f>
        <v>1</v>
      </c>
      <c r="E16" s="5" t="n">
        <f aca="false">IF(C16&gt;0,D16/C16,"")</f>
        <v>0.142857142857143</v>
      </c>
      <c r="F16" s="2" t="n">
        <f aca="false">SUMIFS(Ventas_consultas!$G$2:$G$251,Ventas_consultas!$C$2:$C$251,$A16,Ventas_consultas!$K$2:$K$251,"Simulado",Ventas_consultas!$F$2:$F$251,"Venta")</f>
        <v>1</v>
      </c>
      <c r="G16" s="7" t="n">
        <f aca="false">SUMIFS(Ventas_consultas!$I$2:$I$251,Ventas_consultas!$C$2:$C$251,$A16,Ventas_consultas!$K$2:$K$251,"Simulado",Ventas_consultas!$F$2:$F$251,"Venta")</f>
        <v>28000</v>
      </c>
      <c r="H16" s="7" t="n">
        <f aca="false">IF(D16&gt;0,G16/D16,"")</f>
        <v>28000</v>
      </c>
    </row>
    <row r="17" customFormat="false" ht="15" hidden="false" customHeight="false" outlineLevel="0" collapsed="false">
      <c r="A17" s="2" t="s">
        <v>147</v>
      </c>
      <c r="B17" s="2" t="s">
        <v>145</v>
      </c>
      <c r="C17" s="2" t="n">
        <f aca="false">COUNTIFS(Ventas_consultas!$C$2:$C$251,$A17,Ventas_consultas!$K$2:$K$251,"Simulado",Ventas_consultas!$F$2:$F$251,"Consulta")</f>
        <v>7</v>
      </c>
      <c r="D17" s="2" t="n">
        <f aca="false">COUNTIFS(Ventas_consultas!$C$2:$C$251,$A17,Ventas_consultas!$K$2:$K$251,"Simulado",Ventas_consultas!$F$2:$F$251,"Venta")</f>
        <v>1</v>
      </c>
      <c r="E17" s="5" t="n">
        <f aca="false">IF(C17&gt;0,D17/C17,"")</f>
        <v>0.142857142857143</v>
      </c>
      <c r="F17" s="2" t="n">
        <f aca="false">SUMIFS(Ventas_consultas!$G$2:$G$251,Ventas_consultas!$C$2:$C$251,$A17,Ventas_consultas!$K$2:$K$251,"Simulado",Ventas_consultas!$F$2:$F$251,"Venta")</f>
        <v>1</v>
      </c>
      <c r="G17" s="7" t="n">
        <f aca="false">SUMIFS(Ventas_consultas!$I$2:$I$251,Ventas_consultas!$C$2:$C$251,$A17,Ventas_consultas!$K$2:$K$251,"Simulado",Ventas_consultas!$F$2:$F$251,"Venta")</f>
        <v>17910</v>
      </c>
      <c r="H17" s="7" t="n">
        <f aca="false">IF(D17&gt;0,G17/D17,"")</f>
        <v>17910</v>
      </c>
    </row>
    <row r="18" customFormat="false" ht="15" hidden="false" customHeight="false" outlineLevel="0" collapsed="false">
      <c r="A18" s="2" t="s">
        <v>148</v>
      </c>
      <c r="B18" s="2" t="s">
        <v>145</v>
      </c>
      <c r="C18" s="2" t="n">
        <f aca="false">COUNTIFS(Ventas_consultas!$C$2:$C$251,$A18,Ventas_consultas!$K$2:$K$251,"Simulado",Ventas_consultas!$F$2:$F$251,"Consulta")</f>
        <v>6</v>
      </c>
      <c r="D18" s="2" t="n">
        <f aca="false">COUNTIFS(Ventas_consultas!$C$2:$C$251,$A18,Ventas_consultas!$K$2:$K$251,"Simulado",Ventas_consultas!$F$2:$F$251,"Venta")</f>
        <v>1</v>
      </c>
      <c r="E18" s="5" t="n">
        <f aca="false">IF(C18&gt;0,D18/C18,"")</f>
        <v>0.166666666666667</v>
      </c>
      <c r="F18" s="2" t="n">
        <f aca="false">SUMIFS(Ventas_consultas!$G$2:$G$251,Ventas_consultas!$C$2:$C$251,$A18,Ventas_consultas!$K$2:$K$251,"Simulado",Ventas_consultas!$F$2:$F$251,"Venta")</f>
        <v>1</v>
      </c>
      <c r="G18" s="7" t="n">
        <f aca="false">SUMIFS(Ventas_consultas!$I$2:$I$251,Ventas_consultas!$C$2:$C$251,$A18,Ventas_consultas!$K$2:$K$251,"Simulado",Ventas_consultas!$F$2:$F$251,"Venta")</f>
        <v>25200</v>
      </c>
      <c r="H18" s="7" t="n">
        <f aca="false">IF(D18&gt;0,G18/D18,"")</f>
        <v>25200</v>
      </c>
    </row>
    <row r="19" customFormat="false" ht="15" hidden="false" customHeight="false" outlineLevel="0" collapsed="false">
      <c r="A19" s="2" t="s">
        <v>149</v>
      </c>
      <c r="B19" s="2" t="s">
        <v>145</v>
      </c>
      <c r="C19" s="2" t="n">
        <f aca="false">COUNTIFS(Ventas_consultas!$C$2:$C$251,$A19,Ventas_consultas!$K$2:$K$251,"Simulado",Ventas_consultas!$F$2:$F$251,"Consulta")</f>
        <v>5</v>
      </c>
      <c r="D19" s="2" t="n">
        <f aca="false">COUNTIFS(Ventas_consultas!$C$2:$C$251,$A19,Ventas_consultas!$K$2:$K$251,"Simulado",Ventas_consultas!$F$2:$F$251,"Venta")</f>
        <v>1</v>
      </c>
      <c r="E19" s="5" t="n">
        <f aca="false">IF(C19&gt;0,D19/C19,"")</f>
        <v>0.2</v>
      </c>
      <c r="F19" s="2" t="n">
        <f aca="false">SUMIFS(Ventas_consultas!$G$2:$G$251,Ventas_consultas!$C$2:$C$251,$A19,Ventas_consultas!$K$2:$K$251,"Simulado",Ventas_consultas!$F$2:$F$251,"Venta")</f>
        <v>1</v>
      </c>
      <c r="G19" s="7" t="n">
        <f aca="false">SUMIFS(Ventas_consultas!$I$2:$I$251,Ventas_consultas!$C$2:$C$251,$A19,Ventas_consultas!$K$2:$K$251,"Simulado",Ventas_consultas!$F$2:$F$251,"Venta")</f>
        <v>24300</v>
      </c>
      <c r="H19" s="7" t="n">
        <f aca="false">IF(D19&gt;0,G19/D19,"")</f>
        <v>24300</v>
      </c>
    </row>
    <row r="20" customFormat="false" ht="15" hidden="false" customHeight="false" outlineLevel="0" collapsed="false">
      <c r="A20" s="2" t="s">
        <v>150</v>
      </c>
      <c r="B20" s="2" t="s">
        <v>145</v>
      </c>
      <c r="C20" s="2" t="n">
        <f aca="false">COUNTIFS(Ventas_consultas!$C$2:$C$251,$A20,Ventas_consultas!$K$2:$K$251,"Simulado",Ventas_consultas!$F$2:$F$251,"Consulta")</f>
        <v>7</v>
      </c>
      <c r="D20" s="2" t="n">
        <f aca="false">COUNTIFS(Ventas_consultas!$C$2:$C$251,$A20,Ventas_consultas!$K$2:$K$251,"Simulado",Ventas_consultas!$F$2:$F$251,"Venta")</f>
        <v>1</v>
      </c>
      <c r="E20" s="5" t="n">
        <f aca="false">IF(C20&gt;0,D20/C20,"")</f>
        <v>0.142857142857143</v>
      </c>
      <c r="F20" s="2" t="n">
        <f aca="false">SUMIFS(Ventas_consultas!$G$2:$G$251,Ventas_consultas!$C$2:$C$251,$A20,Ventas_consultas!$K$2:$K$251,"Simulado",Ventas_consultas!$F$2:$F$251,"Venta")</f>
        <v>1</v>
      </c>
      <c r="G20" s="7" t="n">
        <f aca="false">SUMIFS(Ventas_consultas!$I$2:$I$251,Ventas_consultas!$C$2:$C$251,$A20,Ventas_consultas!$K$2:$K$251,"Simulado",Ventas_consultas!$F$2:$F$251,"Venta")</f>
        <v>21780</v>
      </c>
      <c r="H20" s="7" t="n">
        <f aca="false">IF(D20&gt;0,G20/D20,"")</f>
        <v>21780</v>
      </c>
    </row>
    <row r="21" customFormat="false" ht="15" hidden="false" customHeight="false" outlineLevel="0" collapsed="false">
      <c r="A21" s="1" t="s">
        <v>394</v>
      </c>
      <c r="C21" s="1" t="n">
        <f aca="false">SUM(C3:C20)</f>
        <v>186</v>
      </c>
      <c r="D21" s="1" t="n">
        <f aca="false">SUM(D3:D20)</f>
        <v>60</v>
      </c>
      <c r="E21" s="9" t="n">
        <f aca="false">IF(C21&gt;0,D21/C21,"")</f>
        <v>0.32258064516129</v>
      </c>
      <c r="F21" s="1" t="n">
        <f aca="false">SUM(F3:F20)</f>
        <v>71</v>
      </c>
      <c r="G21" s="10" t="n">
        <f aca="false">SUM(G3:G20)</f>
        <v>1395402</v>
      </c>
      <c r="H21" s="11" t="n">
        <f aca="false">IF(D21&gt;0,G21/D21,"")</f>
        <v>23256.7</v>
      </c>
    </row>
    <row r="23" customFormat="false" ht="15" hidden="false" customHeight="false" outlineLevel="0" collapsed="false">
      <c r="A23" s="1" t="s">
        <v>395</v>
      </c>
    </row>
    <row r="24" customFormat="false" ht="15" hidden="false" customHeight="false" outlineLevel="0" collapsed="false">
      <c r="A24" s="0" t="s">
        <v>396</v>
      </c>
      <c r="B24" s="0" t="n">
        <f aca="false">COUNTIFS(Ventas_consultas!$F$2:$F$251,"Consulta",Ventas_consultas!$K$2:$K$251,"Real")</f>
        <v>2</v>
      </c>
    </row>
    <row r="25" customFormat="false" ht="15" hidden="false" customHeight="false" outlineLevel="0" collapsed="false">
      <c r="A25" s="0" t="s">
        <v>397</v>
      </c>
      <c r="B25" s="0" t="n">
        <f aca="false">COUNTIFS(Ventas_consultas!$F$2:$F$251,"Venta",Ventas_consultas!$K$2:$K$251,"Real")</f>
        <v>2</v>
      </c>
    </row>
    <row r="26" customFormat="false" ht="15" hidden="false" customHeight="false" outlineLevel="0" collapsed="false">
      <c r="A26" s="0" t="s">
        <v>398</v>
      </c>
      <c r="B26" s="11" t="n">
        <f aca="false">SUMIFS(Ventas_consultas!$I$2:$I$251,Ventas_consultas!$F$2:$F$251,"Venta",Ventas_consultas!$K$2:$K$251,"Real")</f>
        <v>48373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4" min="3" style="0" width="20"/>
  </cols>
  <sheetData>
    <row r="1" customFormat="false" ht="15" hidden="false" customHeight="false" outlineLevel="0" collapsed="false">
      <c r="A1" s="3" t="s">
        <v>399</v>
      </c>
      <c r="B1" s="3" t="s">
        <v>153</v>
      </c>
      <c r="C1" s="3" t="s">
        <v>400</v>
      </c>
      <c r="D1" s="3" t="s">
        <v>401</v>
      </c>
    </row>
    <row r="2" customFormat="false" ht="15" hidden="false" customHeight="false" outlineLevel="0" collapsed="false">
      <c r="A2" s="2" t="s">
        <v>16</v>
      </c>
      <c r="B2" s="12" t="n">
        <f aca="false">Cuenta_90d!B2</f>
        <v>8312</v>
      </c>
      <c r="C2" s="2"/>
      <c r="D2" s="2"/>
    </row>
    <row r="3" customFormat="false" ht="15" hidden="false" customHeight="false" outlineLevel="0" collapsed="false">
      <c r="A3" s="2" t="s">
        <v>20</v>
      </c>
      <c r="B3" s="12" t="n">
        <f aca="false">Cuenta_90d!B5</f>
        <v>1117</v>
      </c>
      <c r="C3" s="5" t="n">
        <f aca="false">IF(B2&gt;0,B3/B2,"")</f>
        <v>0.134384023099134</v>
      </c>
      <c r="D3" s="2"/>
    </row>
    <row r="4" customFormat="false" ht="15" hidden="false" customHeight="false" outlineLevel="0" collapsed="false">
      <c r="A4" s="2" t="s">
        <v>27</v>
      </c>
      <c r="B4" s="12" t="n">
        <f aca="false">Cuenta_90d!B11</f>
        <v>612</v>
      </c>
      <c r="C4" s="5" t="n">
        <f aca="false">IF(B3&gt;0,B4/B3,"")</f>
        <v>0.547896150402865</v>
      </c>
      <c r="D4" s="5" t="n">
        <f aca="false">IF($B$3&gt;0,B4/$B$3,"")</f>
        <v>0.547896150402865</v>
      </c>
    </row>
    <row r="5" customFormat="false" ht="15" hidden="false" customHeight="false" outlineLevel="0" collapsed="false">
      <c r="A5" s="2" t="s">
        <v>402</v>
      </c>
      <c r="B5" s="12" t="n">
        <f aca="false">Cuenta_90d!B12</f>
        <v>67</v>
      </c>
      <c r="C5" s="5" t="n">
        <f aca="false">IF(B4&gt;0,B5/B4,"")</f>
        <v>0.109477124183007</v>
      </c>
      <c r="D5" s="5" t="n">
        <f aca="false">IF($B$3&gt;0,B5/$B$3,"")</f>
        <v>0.0599820948970457</v>
      </c>
    </row>
    <row r="6" customFormat="false" ht="15" hidden="false" customHeight="false" outlineLevel="0" collapsed="false">
      <c r="A6" s="2" t="s">
        <v>403</v>
      </c>
      <c r="B6" s="12" t="n">
        <f aca="false">COUNTIFS(Ventas_consultas!$K$2:$K$251,"Real")</f>
        <v>4</v>
      </c>
      <c r="C6" s="5" t="n">
        <f aca="false">IF(B5&gt;0,B6/B5,"")</f>
        <v>0.0597014925373134</v>
      </c>
      <c r="D6" s="5" t="n">
        <f aca="false">IF($B$3&gt;0,B6/$B$3,"")</f>
        <v>0.0035810205908684</v>
      </c>
    </row>
    <row r="7" customFormat="false" ht="15" hidden="false" customHeight="false" outlineLevel="0" collapsed="false">
      <c r="A7" s="2" t="s">
        <v>389</v>
      </c>
      <c r="B7" s="12" t="n">
        <f aca="false">COUNTIFS(Ventas_consultas!$F$2:$F$251,"Venta",Ventas_consultas!$K$2:$K$251,"Real")</f>
        <v>2</v>
      </c>
      <c r="C7" s="5" t="n">
        <f aca="false">IF(B6&gt;0,B7/B6,"")</f>
        <v>0.5</v>
      </c>
      <c r="D7" s="5" t="n">
        <f aca="false">IF($B$3&gt;0,B7/$B$3,"")</f>
        <v>0.0017905102954342</v>
      </c>
    </row>
    <row r="9" customFormat="false" ht="15" hidden="false" customHeight="false" outlineLevel="0" collapsed="false">
      <c r="A9" s="13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3" t="s">
        <v>124</v>
      </c>
      <c r="B1" s="3" t="s">
        <v>405</v>
      </c>
      <c r="C1" s="3" t="s">
        <v>406</v>
      </c>
      <c r="D1" s="3" t="s">
        <v>407</v>
      </c>
    </row>
    <row r="2" customFormat="false" ht="15" hidden="false" customHeight="false" outlineLevel="0" collapsed="false">
      <c r="A2" s="2" t="s">
        <v>128</v>
      </c>
      <c r="B2" s="2" t="n">
        <v>22</v>
      </c>
      <c r="C2" s="14" t="n">
        <v>0.45</v>
      </c>
      <c r="D2" s="2" t="s">
        <v>408</v>
      </c>
    </row>
    <row r="3" customFormat="false" ht="15" hidden="false" customHeight="false" outlineLevel="0" collapsed="false">
      <c r="A3" s="2" t="s">
        <v>130</v>
      </c>
      <c r="B3" s="2" t="n">
        <v>18</v>
      </c>
      <c r="C3" s="14" t="n">
        <v>0.45</v>
      </c>
      <c r="D3" s="2" t="s">
        <v>408</v>
      </c>
    </row>
    <row r="4" customFormat="false" ht="15" hidden="false" customHeight="false" outlineLevel="0" collapsed="false">
      <c r="A4" s="2" t="s">
        <v>131</v>
      </c>
      <c r="B4" s="2" t="n">
        <v>20</v>
      </c>
      <c r="C4" s="14" t="n">
        <v>0.35</v>
      </c>
      <c r="D4" s="2" t="s">
        <v>409</v>
      </c>
    </row>
    <row r="5" customFormat="false" ht="15" hidden="false" customHeight="false" outlineLevel="0" collapsed="false">
      <c r="A5" s="2" t="s">
        <v>133</v>
      </c>
      <c r="B5" s="2" t="n">
        <v>17</v>
      </c>
      <c r="C5" s="14" t="n">
        <v>0.35</v>
      </c>
      <c r="D5" s="2" t="s">
        <v>409</v>
      </c>
    </row>
    <row r="6" customFormat="false" ht="15" hidden="false" customHeight="false" outlineLevel="0" collapsed="false">
      <c r="A6" s="2" t="s">
        <v>134</v>
      </c>
      <c r="B6" s="2" t="n">
        <v>8</v>
      </c>
      <c r="C6" s="14" t="n">
        <v>0.35</v>
      </c>
      <c r="D6" s="2" t="s">
        <v>409</v>
      </c>
    </row>
    <row r="7" customFormat="false" ht="15" hidden="false" customHeight="false" outlineLevel="0" collapsed="false">
      <c r="A7" s="2" t="s">
        <v>135</v>
      </c>
      <c r="B7" s="2" t="n">
        <v>10</v>
      </c>
      <c r="C7" s="14" t="n">
        <v>0.4</v>
      </c>
      <c r="D7" s="2" t="s">
        <v>410</v>
      </c>
    </row>
    <row r="8" customFormat="false" ht="15" hidden="false" customHeight="false" outlineLevel="0" collapsed="false">
      <c r="A8" s="2" t="s">
        <v>137</v>
      </c>
      <c r="B8" s="2" t="n">
        <v>8</v>
      </c>
      <c r="C8" s="14" t="n">
        <v>0.4</v>
      </c>
      <c r="D8" s="2" t="s">
        <v>410</v>
      </c>
    </row>
    <row r="9" customFormat="false" ht="15" hidden="false" customHeight="false" outlineLevel="0" collapsed="false">
      <c r="A9" s="2" t="s">
        <v>138</v>
      </c>
      <c r="B9" s="2" t="n">
        <v>8</v>
      </c>
      <c r="C9" s="14" t="n">
        <v>0.4</v>
      </c>
      <c r="D9" s="2" t="s">
        <v>410</v>
      </c>
    </row>
    <row r="10" customFormat="false" ht="15" hidden="false" customHeight="false" outlineLevel="0" collapsed="false">
      <c r="A10" s="2" t="s">
        <v>139</v>
      </c>
      <c r="B10" s="2" t="n">
        <v>15</v>
      </c>
      <c r="C10" s="14" t="n">
        <v>0.3</v>
      </c>
      <c r="D10" s="2" t="s">
        <v>411</v>
      </c>
    </row>
    <row r="11" customFormat="false" ht="15" hidden="false" customHeight="false" outlineLevel="0" collapsed="false">
      <c r="A11" s="2" t="s">
        <v>140</v>
      </c>
      <c r="B11" s="2" t="n">
        <v>8</v>
      </c>
      <c r="C11" s="14" t="n">
        <v>0.25</v>
      </c>
      <c r="D11" s="2" t="s">
        <v>412</v>
      </c>
    </row>
    <row r="12" customFormat="false" ht="15" hidden="false" customHeight="false" outlineLevel="0" collapsed="false">
      <c r="A12" s="2" t="s">
        <v>142</v>
      </c>
      <c r="B12" s="2" t="n">
        <v>6</v>
      </c>
      <c r="C12" s="14" t="n">
        <v>0.25</v>
      </c>
      <c r="D12" s="2" t="s">
        <v>412</v>
      </c>
    </row>
    <row r="13" customFormat="false" ht="15" hidden="false" customHeight="false" outlineLevel="0" collapsed="false">
      <c r="A13" s="2" t="s">
        <v>143</v>
      </c>
      <c r="B13" s="2" t="n">
        <v>6</v>
      </c>
      <c r="C13" s="14" t="n">
        <v>0.25</v>
      </c>
      <c r="D13" s="2" t="s">
        <v>412</v>
      </c>
    </row>
    <row r="14" customFormat="false" ht="15" hidden="false" customHeight="false" outlineLevel="0" collapsed="false">
      <c r="A14" s="2" t="s">
        <v>144</v>
      </c>
      <c r="B14" s="2" t="n">
        <v>8</v>
      </c>
      <c r="C14" s="14" t="n">
        <v>0.15</v>
      </c>
      <c r="D14" s="2" t="s">
        <v>413</v>
      </c>
    </row>
    <row r="15" customFormat="false" ht="15" hidden="false" customHeight="false" outlineLevel="0" collapsed="false">
      <c r="A15" s="2" t="s">
        <v>146</v>
      </c>
      <c r="B15" s="2" t="n">
        <v>7</v>
      </c>
      <c r="C15" s="14" t="n">
        <v>0.15</v>
      </c>
      <c r="D15" s="2" t="s">
        <v>413</v>
      </c>
    </row>
    <row r="16" customFormat="false" ht="15" hidden="false" customHeight="false" outlineLevel="0" collapsed="false">
      <c r="A16" s="2" t="s">
        <v>147</v>
      </c>
      <c r="B16" s="2" t="n">
        <v>7</v>
      </c>
      <c r="C16" s="14" t="n">
        <v>0.15</v>
      </c>
      <c r="D16" s="2" t="s">
        <v>413</v>
      </c>
    </row>
    <row r="17" customFormat="false" ht="15" hidden="false" customHeight="false" outlineLevel="0" collapsed="false">
      <c r="A17" s="2" t="s">
        <v>148</v>
      </c>
      <c r="B17" s="2" t="n">
        <v>6</v>
      </c>
      <c r="C17" s="14" t="n">
        <v>0.15</v>
      </c>
      <c r="D17" s="2" t="s">
        <v>413</v>
      </c>
    </row>
    <row r="18" customFormat="false" ht="15" hidden="false" customHeight="false" outlineLevel="0" collapsed="false">
      <c r="A18" s="2" t="s">
        <v>149</v>
      </c>
      <c r="B18" s="2" t="n">
        <v>5</v>
      </c>
      <c r="C18" s="14" t="n">
        <v>0.15</v>
      </c>
      <c r="D18" s="2" t="s">
        <v>413</v>
      </c>
    </row>
    <row r="19" customFormat="false" ht="15" hidden="false" customHeight="false" outlineLevel="0" collapsed="false">
      <c r="A19" s="2" t="s">
        <v>150</v>
      </c>
      <c r="B19" s="2" t="n">
        <v>7</v>
      </c>
      <c r="C19" s="14" t="n">
        <v>0.15</v>
      </c>
      <c r="D19" s="2" t="s">
        <v>413</v>
      </c>
    </row>
    <row r="21" customFormat="false" ht="15" hidden="false" customHeight="false" outlineLevel="0" collapsed="false">
      <c r="A21" s="2" t="s">
        <v>414</v>
      </c>
    </row>
    <row r="22" customFormat="false" ht="15" hidden="false" customHeight="false" outlineLevel="0" collapsed="false">
      <c r="A22" s="2" t="s">
        <v>415</v>
      </c>
    </row>
    <row r="23" customFormat="false" ht="15" hidden="false" customHeight="false" outlineLevel="0" collapsed="false">
      <c r="A23" s="2" t="s">
        <v>416</v>
      </c>
    </row>
    <row r="24" customFormat="false" ht="15" hidden="false" customHeight="false" outlineLevel="0" collapsed="false">
      <c r="A24" s="2" t="s">
        <v>417</v>
      </c>
    </row>
    <row r="25" customFormat="false" ht="15" hidden="false" customHeight="false" outlineLevel="0" collapsed="false">
      <c r="A25" s="2" t="s">
        <v>418</v>
      </c>
    </row>
    <row r="26" customFormat="false" ht="15" hidden="false" customHeight="false" outlineLevel="0" collapsed="false">
      <c r="A26" s="2" t="s">
        <v>419</v>
      </c>
    </row>
    <row r="27" customFormat="false" ht="15" hidden="false" customHeight="false" outlineLevel="0" collapsed="false">
      <c r="A27" s="2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2026-09-30T22:51:56Z</dcterms:created>
  <dc:creator>openpyxl</dc:creator>
  <dc:description/>
  <dc:language>en-US</dc:language>
  <cp:lastModifiedBy/>
  <dcterms:modified xsi:type="dcterms:W3CDTF">2026-09-30T22:51:56Z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